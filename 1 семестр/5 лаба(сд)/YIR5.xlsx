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19420" windowHeight="11020" firstSheet="1" activeTab="1"/>
  </bookViews>
  <sheets>
    <sheet name="Инф об авторе и статьях" sheetId="1" r:id="rId1"/>
    <sheet name="инф о журналах" sheetId="3" r:id="rId2"/>
    <sheet name="инф о конференциях" sheetId="4" r:id="rId3"/>
    <sheet name="подбор статей" sheetId="5" r:id="rId4"/>
  </sheets>
  <externalReferences>
    <externalReference r:id="rId5"/>
    <externalReference r:id="rId6"/>
  </externalReferences>
  <definedNames>
    <definedName name="_xlnm._FilterDatabase" localSheetId="3" hidden="1">'подбор статей'!$A$1:$K$17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1" i="3"/>
  <c r="CY21" i="5"/>
  <c r="CY20"/>
  <c r="CY19"/>
  <c r="AE18"/>
  <c r="AE2"/>
  <c r="AE3"/>
  <c r="AE4"/>
  <c r="AE5"/>
  <c r="AE6"/>
  <c r="AE7"/>
  <c r="AE8"/>
  <c r="AE9"/>
  <c r="AE10"/>
  <c r="AE11"/>
  <c r="AE12"/>
  <c r="AE13"/>
  <c r="AE14"/>
  <c r="AE15"/>
  <c r="AE16"/>
  <c r="AE17"/>
  <c r="CD3"/>
  <c r="CD4"/>
  <c r="CD5"/>
  <c r="CD6"/>
  <c r="CD7"/>
  <c r="CD8"/>
  <c r="CD9"/>
  <c r="CD10"/>
  <c r="CD11"/>
  <c r="CD12"/>
  <c r="CD2"/>
  <c r="CB11"/>
  <c r="CB12"/>
  <c r="CB13"/>
  <c r="CB10"/>
  <c r="CB9"/>
  <c r="CB8"/>
  <c r="CB7"/>
  <c r="CB3"/>
  <c r="CB4"/>
  <c r="BY5" s="1"/>
  <c r="CB5"/>
  <c r="CB6"/>
  <c r="CB2"/>
  <c r="M2"/>
  <c r="BH2"/>
  <c r="BG2"/>
  <c r="BE2"/>
  <c r="BD2"/>
  <c r="CB14" l="1"/>
</calcChain>
</file>

<file path=xl/sharedStrings.xml><?xml version="1.0" encoding="utf-8"?>
<sst xmlns="http://schemas.openxmlformats.org/spreadsheetml/2006/main" count="432" uniqueCount="275">
  <si>
    <t xml:space="preserve">Анализ публикационной деятельности: </t>
  </si>
  <si>
    <t>Название статьи</t>
  </si>
  <si>
    <t>Название журнала/сборника</t>
  </si>
  <si>
    <t>Статус журнала/сборника</t>
  </si>
  <si>
    <t>номер журнала</t>
  </si>
  <si>
    <t>год издания</t>
  </si>
  <si>
    <t>Кол-во публикаций:</t>
  </si>
  <si>
    <t>Кол-во цитирований:</t>
  </si>
  <si>
    <t>Индекс Хирша:</t>
  </si>
  <si>
    <t>город издания</t>
  </si>
  <si>
    <t>год основания</t>
  </si>
  <si>
    <t>всего выпусков</t>
  </si>
  <si>
    <t>выпусков в год</t>
  </si>
  <si>
    <t>число статей в выпуске</t>
  </si>
  <si>
    <t>кол-во страниц в выпуске</t>
  </si>
  <si>
    <t>сайт</t>
  </si>
  <si>
    <t>импакт-фактор</t>
  </si>
  <si>
    <t>Иноформация об участии в конференциях</t>
  </si>
  <si>
    <t>название доклада</t>
  </si>
  <si>
    <t>название конференции</t>
  </si>
  <si>
    <t>город проведения</t>
  </si>
  <si>
    <t>статус Всеросс./Международ.</t>
  </si>
  <si>
    <t>год доклада</t>
  </si>
  <si>
    <t>база цитирования</t>
  </si>
  <si>
    <t>ресурс</t>
  </si>
  <si>
    <t>автор(ы)</t>
  </si>
  <si>
    <t xml:space="preserve"> полное название публикации</t>
  </si>
  <si>
    <t xml:space="preserve"> кол-во страниц</t>
  </si>
  <si>
    <t>ключевые слова</t>
  </si>
  <si>
    <t xml:space="preserve"> язык публикации</t>
  </si>
  <si>
    <t>ЭФФЕКТИВНОСТЬ РАБОТЫ МОДЕЛЕЙ НАДЕЖНОСТИ ОТКАЗОУСТОЙЧИВОЙ АВТОМАТИЗИРОВАННОЙ СИСТЕМЫ УПРАВЛЕНИЯ</t>
  </si>
  <si>
    <t>АВТОМАТИЗИРОВАННЫЕ СИСТЕМЫ УПРАВЛЕНИЯ ТЕХНОЛОГИЧЕСКИМ ПРОЦЕССОМ (АСУ ТП)</t>
  </si>
  <si>
    <t>модель, надежность, отказоустойчивость, автоматизация, система, оборудование, управление, вычисление, неисправность, оценка.</t>
  </si>
  <si>
    <t>русский</t>
  </si>
  <si>
    <t>Нуйкин Д. А., Кулакова Е. С.</t>
  </si>
  <si>
    <t>№ 1, т. 17</t>
  </si>
  <si>
    <t>АВТОМАТИЗИРОВАННАЯ СИСТЕМА УПРАВЛЕНИЯ ТЕХНОЛОГИЧЕСКИМ ПРОЦЕССОМ</t>
  </si>
  <si>
    <t>Разработка интеллектуальных автоматизированных систем управления в машиностроении</t>
  </si>
  <si>
    <t xml:space="preserve">Известия ТулГУ. Технические науки. 2018. Вып. 6 </t>
  </si>
  <si>
    <t>МЕТОДИКА ОЦЕНИВАНИЯ УСТОЙЧИВОСТИ ФУНКЦИОНИРОВАНИЯ АВТОМАТИЗИРОВАННОЙ СИСТЕМЫ УПРАВЛЕНИЯ КРИТИЧЕСКОЙ ИНФОРМАЦИОННОЙ ИНФРАСТРУКТУРОЙ В УСЛОВИЯХ ИНФОРМАЦИОННОГО ВОЗДЕЙСТВИЯ</t>
  </si>
  <si>
    <t>В.Б. Вечеркин, А.В. Галанкин, М.А. Прохоров</t>
  </si>
  <si>
    <t>автоматизированные системы управления, критическая ин_x0002_формационная инфраструктура,оценивание, устойчивость.</t>
  </si>
  <si>
    <t>системы управления, технологический процесс, искусственный интеллект, АСУ ТП, SCADA-системы.</t>
  </si>
  <si>
    <t>Луков Д.К</t>
  </si>
  <si>
    <t>автоматизированная система управления технологическими процессами, цели разработки и предназначение АСУ ТП ТКГМК, программное обеспечение, технические средства</t>
  </si>
  <si>
    <t>автоматизированные системы управления; надежность; коммутаторная архитектура; искусст_x0002_венные нейронные сети</t>
  </si>
  <si>
    <t>Н.В. Суханова</t>
  </si>
  <si>
    <t>Вестник Брянского государственного технического университета</t>
  </si>
  <si>
    <t>7 (68)</t>
  </si>
  <si>
    <t>РАЗРАБОТКА И ИССЛЕДОВАНИЕ СПОСОБА КОНТРОЛЯ РАБОТОСПОСОБНОСТИ АВТОМАТИЗИРОВАННЫХ СИСТЕМ УПРАВЛЕНИЯ НА БАЗЕ ИСКУССТВЕННЫХ НЕЙРОННЫХ СЕТЕЙ</t>
  </si>
  <si>
    <t xml:space="preserve"> искусственная нейронная 
сеть, обучающая выборка, работоспособное со стояние, неработоспособное состояние, отказ, уст ройство контроля работоспособности.</t>
  </si>
  <si>
    <t>ОБ ИСТОРИИ РАЗВИТИЯ АВТОМАТИЗИРОВАННЫХ СИСТЕМ, СВЯЗАННЫХ С УПРАВЛЕНИЕМ</t>
  </si>
  <si>
    <t>Ю. П. Преображенский, О. Н. Чопоров, Е. Ружицкий</t>
  </si>
  <si>
    <t>управление, информационная система, автоматизация, процесс</t>
  </si>
  <si>
    <t>Автоматизированная система для управления работой по поиску информации на основе анализа обработанных обращений</t>
  </si>
  <si>
    <t>Е.В. Ефромеева, И.А. Смирнова</t>
  </si>
  <si>
    <t>поиск информации, Яндекс.Директ, блок информации, поиск в интернете, автомати_x0002_зированная система</t>
  </si>
  <si>
    <t>https://www.elibrary.ru/download/elibrary_37750404_31788308.pdf</t>
  </si>
  <si>
    <t>Э. М. Львович, А. М. Холодков</t>
  </si>
  <si>
    <t>https://www.elibrary.ru/download/elibrary_44670815_88334939.pdf</t>
  </si>
  <si>
    <t>Информационное, математическое и программное обеспечение технических систем</t>
  </si>
  <si>
    <t>Логунова О. С., Багаева И. И., Сидоренко Н. С., Логунов С. М., Егорова Л. Г.</t>
  </si>
  <si>
    <t>изображение, структура изображения, структурная единица информации, математическое описание, хранилище  данных</t>
  </si>
  <si>
    <t>ЭСиК</t>
  </si>
  <si>
    <t>№4(41)</t>
  </si>
  <si>
    <t>Наука и техника</t>
  </si>
  <si>
    <t>https://www.elibrary.ru/download/elibrary_41321527_75777566.pdf</t>
  </si>
  <si>
    <t>Автоматизированная система управления обучением CATS</t>
  </si>
  <si>
    <t>Ю. Б. Попова</t>
  </si>
  <si>
    <t>LMS, электронное обучение, обучающая система, автоматизация обучения, мониторинг процесса обучения, тесты для контроля знаний и самообучения</t>
  </si>
  <si>
    <t>Инженерный вестник Дона</t>
  </si>
  <si>
    <t>№4</t>
  </si>
  <si>
    <t>И.С. Полевщиков, Р.А. Файзрахманов</t>
  </si>
  <si>
    <t>Автоматизированное управление тестированием программных систем с применением нейронных сетей</t>
  </si>
  <si>
    <t>тестирование программного обеспечения, методы оптимизации, автоматизированная система управления, нейронные сети, тестовое покрытие.</t>
  </si>
  <si>
    <t>Е.В. Лощенко, П.М. Дашкевич, Л.В. Казанцев</t>
  </si>
  <si>
    <t>АВТОМАТИЗИРОВАННЫЕ СИСТЕМЫ УПРАВЛЕНИЯ: ВОЗМОЖНОСТИ, СРАВНЕНИЕ, ПЕРСПЕКТИВЫ РАЗВИТИЯ</t>
  </si>
  <si>
    <t>автоматизация бизнеса, автоматизированные си_x0002_стемы управления, 1С, SAP, программное обеспечение</t>
  </si>
  <si>
    <t>https://www.elibrary.ru/download/elibrary_44252647_53379189.pdf</t>
  </si>
  <si>
    <t>МЕТОДИКА АДАПТИВНОГО УПРАВЛЕНИЯ ИНФОРМАЦИОННОЙ СИСТЕМОЙ КРИТИЧЕСКИ ВАЖНЫХ ОБЪЕКТОВ В УСЛОВИЯХ МАССОВЫХ ВОЗМУЩЕНИЙ</t>
  </si>
  <si>
    <t>Легков К. Е., Левко И. В., Оркин В. В.</t>
  </si>
  <si>
    <t>информационная система, критически важный объект, массовые возмущения; вектор управления, информационный поток.</t>
  </si>
  <si>
    <t>том 12. №11</t>
  </si>
  <si>
    <t>T-Comm</t>
  </si>
  <si>
    <t>https://www.elibrary.ru/download/elibrary_36586889_41950662.pdf</t>
  </si>
  <si>
    <t>Анализ проблем моделирования автоматизированной обучающей системы тренажерной подготовки</t>
  </si>
  <si>
    <t>Системы управления, связи и безопасности</t>
  </si>
  <si>
    <t>Алексеев С. А., Гончар А. А., Парфенов Н. П., Стахно Р. Е., Яковлева Н. А.</t>
  </si>
  <si>
    <t>тренажеры, тренажерно-обучающая система, автоматизированная обу_x0002_чающая систем, автоматизированное рабочее место, тренажерная подготовка, человеко_x0002_машинная система.</t>
  </si>
  <si>
    <t>elibrary</t>
  </si>
  <si>
    <t>https://www.elibrary.ru/download/elibrary_36815524_52038857.pdf</t>
  </si>
  <si>
    <t>ПРОБЛЕМЫ ПЕРЕДАЧИ ИНФОРМАЦИИ В АВТОМАТИЗИРОВАННЫХ СИСТЕМАХ УПРАВЛЕНИЯ</t>
  </si>
  <si>
    <t>https://www.elibrary.ru/download/elibrary_37282235_36710183.pdf</t>
  </si>
  <si>
    <t>https://www.elibrary.ru/download/elibrary_46543375_91412484.pdf</t>
  </si>
  <si>
    <t>https://www.elibrary.ru/download/elibrary_46370352_98932626.pdf</t>
  </si>
  <si>
    <t>https://www.elibrary.ru/download/elibrary_36763349_77279946.pdf</t>
  </si>
  <si>
    <t>https://www.elibrary.ru/download/elibrary_36434916_19384744.pdf</t>
  </si>
  <si>
    <t>https://www.elibrary.ru/download/elibrary_36776118_72754952.pdf</t>
  </si>
  <si>
    <t>https://www.elibrary.ru/download/elibrary_43830172_68780648.pdf</t>
  </si>
  <si>
    <t>ссылки</t>
  </si>
  <si>
    <t>ЭЛЕКТРОТЕХНИЧЕСКИЕ И ИНФОРМАЦИОННЫЕ КОМПЛЕКСЫ И СИСТЕМЫ</t>
  </si>
  <si>
    <t>2 (44)</t>
  </si>
  <si>
    <t>EUROPEAN SCIENCE</t>
  </si>
  <si>
    <t>НАУКА И ОБРАЗОВАНИЕ</t>
  </si>
  <si>
    <t>№2, т. 3</t>
  </si>
  <si>
    <t>11(89)</t>
  </si>
  <si>
    <t>160-170</t>
  </si>
  <si>
    <t>113-119</t>
  </si>
  <si>
    <t>19-21</t>
  </si>
  <si>
    <t>42-48</t>
  </si>
  <si>
    <t>№6</t>
  </si>
  <si>
    <t>91-98</t>
  </si>
  <si>
    <t>ВЕСТНИК ВОРОНЕЖСКОГО ИНСТИТУТА ВЫСОКИХ ТЕХНОЛОГИЙ</t>
  </si>
  <si>
    <t>2(37)</t>
  </si>
  <si>
    <t>75-78</t>
  </si>
  <si>
    <t>Вестник МГТУ «Станкин»</t>
  </si>
  <si>
    <t>1 (48)</t>
  </si>
  <si>
    <t>181-121</t>
  </si>
  <si>
    <t>3(34)</t>
  </si>
  <si>
    <t>30-33</t>
  </si>
  <si>
    <t xml:space="preserve"> 
ИНФОРМАЦИЯ, РАДИОСВЯЗЬ, УПРАВЛЕНИЕ, АВТОМАТИЗАЦИЯ</t>
  </si>
  <si>
    <t>№ 4, Т. 18</t>
  </si>
  <si>
    <t>339-349</t>
  </si>
  <si>
    <t>Дмитриенко Валерий Дмитриевич</t>
  </si>
  <si>
    <t>НЕЙРОННАЯ СЕТЬ, ИСПОЛЬЗУЮЩАЯ СКАЛЯРНОЕ ПРОИЗВЕДЕНИЕ И ОПРЕДЕЛЯЮЩАЯ НЕСКОЛЬКО РЕШЕНИЙ</t>
  </si>
  <si>
    <t>ПРОГРАММНАЯ КОМПОНЕНТА ДЛЯ ПОИСКА РЕШЕНИЙ СИСТЕМЫ УРАВНЕНИЙ В ЧАСТНЫХ ПРОИЗВОДНЫХ В ГТУ МЕТОДОМ ГРУППОВОГО УЧЕТА АРГУМЕНТОВ</t>
  </si>
  <si>
    <t>ОСНОВНЫЕ СТРУКТУРЫ ДАННЫХ НА БАЗЕ АССОЦИАТИВНЫХ НЕЙРОННЫХ СЕТЕЙ</t>
  </si>
  <si>
    <t>ИССЛЕДОВАНИЕ МЕТОДА ПОИСКА ФУНКЦИЙ ПРЕОБРАЗОВАНИЯ НЕЛИНЕЙНЫХ СИСТЕМ К ЭКВИВАЛЕНТНЫМ ЛИНЕЙНЫМ В ГЕОМЕТРИЧЕСКОЙ ТЕОРИИ УПРАВЛЕНИЯ</t>
  </si>
  <si>
    <t>ИССЛЕДОВАНИЕ ВОЗМОЖНОСТЕЙ ПРОГРАММНЫХ КОМПОНЕНТ БОРТОВОЙ ВЫЧИСЛИТЕЛЬНОЙ СИСТЕМЫ ПРИ ПРЕОБРАЗОВАНИИ НЕЛИНЕЙНЫХ СИСТЕМ К ЭКВИВАЛЕНТНЫМ ЛИНЕЙНЫМ</t>
  </si>
  <si>
    <t>ВЕСТНИК НАЦИОНАЛЬНОГО ТЕХНИЧЕСКОГО УНИВЕРСИТЕТА ХАРЬКОВСКИЙ ПОЛИТЕХНИЧЕСКИЙ ИНСТИТУТ. СЕРИЯ: ИНФОРМАТИКА И МОДЕЛИРОВАНИЕ</t>
  </si>
  <si>
    <t>28(1353)</t>
  </si>
  <si>
    <t>13(1338)</t>
  </si>
  <si>
    <t>42(1318)</t>
  </si>
  <si>
    <t>24(1300)</t>
  </si>
  <si>
    <t>АНАЛИЗ И СОВЕРШЕНСТВОВАНИЕ КОМПОНЕНТ ВЫЧИСЛИТЕЛЬНЫХ МОДЕЛЕЙ И СИСТЕМ, ОСНОВАННЫХ НА ИММУННОЙ ПАРАДИГМЕ</t>
  </si>
  <si>
    <t>1(3)</t>
  </si>
  <si>
    <t>РНИЦ</t>
  </si>
  <si>
    <t>РИНЦ</t>
  </si>
  <si>
    <t>HORA 2020 - 2ND INTERNATIONAL CONGRESS ON HUMAN-COMPUTER INTERACTION, OPTIMIZATION AND ROBOTIC APPLICATIONS, PROCEEDINGS</t>
  </si>
  <si>
    <t>2021 IEEE 2ND KHPI WEEK ON ADVANCED TECHNOLOGY, KHPI WEEK 2021 - CONFERENCE PROCEEDINGS</t>
  </si>
  <si>
    <t>PROCEEDINGS - 16TH INTERNATIONAL CONFERENCE ON ADVANCED TRENDS IN RADIOELECTRONICS, TELECOMMUNICATIONS AND COMPUTER ENGINEERING, TCSET 2022</t>
  </si>
  <si>
    <t>-</t>
  </si>
  <si>
    <t>ядро РИНЦ</t>
  </si>
  <si>
    <t>EVALUATION OF PROXIMITY AND CLASSIFICATION OF BINARY OBJECTS UNDER UNCERTAINTY</t>
  </si>
  <si>
    <t>PROACTIVE CONTROL OF ROLLING STOCK WITH TRACTION ASYNCHRONOUS ELECTRIC MOTORS</t>
  </si>
  <si>
    <t>Харьков</t>
  </si>
  <si>
    <t>NEURAL NETWORKS FOR DETERMINING AFFINITY FUNCTIONS</t>
  </si>
  <si>
    <t>INTELLECTUAL METHODS OF COMPARING POWER GENERATING OBJECTS</t>
  </si>
  <si>
    <t>2020 IEEE 4TH INTERNATIONAL CONFERENCE ON INTELLIGENT ENERGY AND POWER SYSTEMS, IEPS 2020 - PROCEEDINGS</t>
  </si>
  <si>
    <t>cсылка на статью</t>
  </si>
  <si>
    <t>STABLE-PLASTIC NEURAL NETWORK, WHICH DEFINES SEVERAL SOLUTIONS AND NEW INFORMATION ON ITS INPUTS</t>
  </si>
  <si>
    <t>INTERNATIONAL JOURNAL OF COMPUTER AIDED ENGINEERING AND TECHNOLOGY</t>
  </si>
  <si>
    <t>№4,т.16</t>
  </si>
  <si>
    <t>Великобритания</t>
  </si>
  <si>
    <t>Анкара</t>
  </si>
  <si>
    <t>Истамбул</t>
  </si>
  <si>
    <t>Львов, Славское</t>
  </si>
  <si>
    <t>http://pim.net.ua</t>
  </si>
  <si>
    <t>Международный</t>
  </si>
  <si>
    <t>Стамбул</t>
  </si>
  <si>
    <t>Славское</t>
  </si>
  <si>
    <t xml:space="preserve">
ПРОБЛЕМИ ІНФОРМАТИКИ ТА МОДЕЛЮВАННЯ
</t>
  </si>
  <si>
    <t>Тезиси шістнадцятої міжнародної науково-технічної конференції  Національний технічний університет "Харківський політехнічний інститут" 2016</t>
  </si>
  <si>
    <t>Общая информация об авторе:</t>
  </si>
  <si>
    <t>Анализ статей</t>
  </si>
  <si>
    <t>V. D. Dmitrienko, A. Yurievich Zakovorotniy, S. Y. Leonov.  Neural networks for determining affinity functions // HORA 2020 - 2nd International Congress on Human-Computer Interaction, Optimization and Robotic Applications, Proceedings. – 2020. – P. 9152830.</t>
  </si>
  <si>
    <t xml:space="preserve"> M. Hasanov, G. Khrypunov, A. Zakovorotniy. Intellectual methods of comparing power generating objects // 2020 IEEE 4th International Conference on Intelligent Energy and Power Systems, IEPS 2020 - Proceedings. – 2020. – P. 221-224.</t>
  </si>
  <si>
    <t>V. Dmitrienko, S. Leonov, A. Zakovorotnyi, D. Danylchenko. Evaluation of Proximity and Classification of Binary Objects Under Uncertainty // Proceedings - 16th International Conference on Advanced Trends in Radioelectronics, Telecommunications and Computer Engineering, TCSET 2022. – 2022. – P. 257-261.</t>
  </si>
  <si>
    <t>V. Dmitrienko, V. Noskov, A. Zakovorotniy. Proactive control of rolling stock with traction asynchronous electric motor // 2021 IEEE 2nd KhPI Week on Advanced Technology, KhPI Week 2021 - Conference Proceedings. – 2021.  –  P. 407-411.</t>
  </si>
  <si>
    <t>В. Д. Дмитриенко, С. Ю. Леонов. Анализ и совершенствование компонент вычислительных моделей и систем, основанных на иммунной парадигме // Вестник Национального технического университета Харьковский политехнический институт. Серия: Информатика и моделирование. – 2020. – № 1(3). – С. 51-66.</t>
  </si>
  <si>
    <t>В. Д. Дмитриенко, С. Ю. Леонов. Нейронная сеть, использующая скалярное произведение и определяющая несколько решений // Вестник Национального технического университета Харьковский политехнический институт. Серия: Информатика и моделирование. – 2019. – № 28(1353). – С. 68-82.</t>
  </si>
  <si>
    <t>В. Д. Дмитриенко, А. Ю. Заковоротный, С. Ю. Леонов, Д. М. Главчев. Программная компонента для поиска решений системы уравнений в частных производных в ГТУ методом группового учета аргументов // Вестник Национального технического университета Харьковский политехнический институт. Серия: Информатика и моделирование. – 2019. – № 13(1338). – С. 61-73.</t>
  </si>
  <si>
    <t>В. Д. Дмитриенко, С. Ю. Леонов, В. А. Бречко. Основные структуры данных на базе ассоциативных нейронных сетей // Вестник Национального технического университета Харьковский политехнический институт. Серия: Информатика и моделирование. – 2018. – № 42(1318). – С. 148-159.</t>
  </si>
  <si>
    <t>В. Д. Дмитриенко, А. Ю. Заковоротный, Н. В. Мезенцев, Д. М. Главчев. Исследование метода поиска функций преобразования нелинейных систем к эквивалентным линейным в геометрической теории управления // Вестник Национального технического университета Харьковский политехнический институт. Серия: Информатика и моделирование. – 2018. – № 42(1318). – С. 20-35.</t>
  </si>
  <si>
    <t>V. D. Dmitrienko, S. Yu. Leonov, A. Yu. Zakovorotniy. Stable-plastic neural network, which defines several solutions and new information on its inputs // International Journal of Computer Aided Engineering and Technology. – 2022. – Vol. 16, No. 4. – P. 468.</t>
  </si>
  <si>
    <t xml:space="preserve"> В. Д. Дмитриенко, А. Ю. Заковоротный, Н. В. Мезенцев, Д. М. Главчев. исследование возможностей программных компонент бортовой вычислительной системы при преобразовании нелинейных систем к эквивалентным линейным // Вестник Национального технического университета Харьковский политехнический институт. Серия: Информатика и моделирование. – 2018. – № 24(1300). – С. 80-98.</t>
  </si>
  <si>
    <t>https://istina.msu.ru/collections/465891090/</t>
  </si>
  <si>
    <t>https://searchworks.stanford.edu/view/14125684</t>
  </si>
  <si>
    <t>https://www.inderscience.com/jhome.php?jcode=ijcaet</t>
  </si>
  <si>
    <t>https://www.sciencegate.app/source/1473423392</t>
  </si>
  <si>
    <t>https://www.sciencegate.app/source/86063966</t>
  </si>
  <si>
    <t>New neural networks for determining proximity and distance functions when comparing binary objects</t>
  </si>
  <si>
    <t>2022 IEEE 3rd KhPI Week on Advanced Technology, KhPI Week 2022 - Conference Proceedings, 2022</t>
  </si>
  <si>
    <t>Evaluation of Proximity and Classification of Binary Objects Under Uncertainty</t>
  </si>
  <si>
    <t>Proceedings - 16th International Conference on Advanced Trends in Radioelectronics, Telecommunications and Computer Engineering, TCSET 2022</t>
  </si>
  <si>
    <t>Нью-йорк</t>
  </si>
  <si>
    <t>Proactive control of rolling stock with traction asynchronous electric motors</t>
  </si>
  <si>
    <t>2021 IEEE 2nd KhPI Week on Advanced Technology, KhPI Week 2021 - Conference Proceedings</t>
  </si>
  <si>
    <t>Нью-Йорк</t>
  </si>
  <si>
    <t>Наша тема: Автоматизированные системы управления</t>
  </si>
  <si>
    <t xml:space="preserve"> 0.545 </t>
  </si>
  <si>
    <t>0.454</t>
  </si>
  <si>
    <t>0.007</t>
  </si>
  <si>
    <t>0.009</t>
  </si>
  <si>
    <t>0.422</t>
  </si>
  <si>
    <t>0.029</t>
  </si>
  <si>
    <t>Наименование издания</t>
  </si>
  <si>
    <t>Номер выпуска</t>
  </si>
  <si>
    <t>BAK</t>
  </si>
  <si>
    <t>WoS</t>
  </si>
  <si>
    <t>Scopus</t>
  </si>
  <si>
    <t>В.Б. Вечеркин</t>
  </si>
  <si>
    <t>Ю. П. Преображенский</t>
  </si>
  <si>
    <t>Е.В. Ефромеева</t>
  </si>
  <si>
    <t>Э. М. Львович</t>
  </si>
  <si>
    <t>И.С. Полевщиков</t>
  </si>
  <si>
    <t>Е.В. Лощенко</t>
  </si>
  <si>
    <t>ВАК</t>
  </si>
  <si>
    <t>Найбольшее количество публикаций у Сухановой</t>
  </si>
  <si>
    <t>73-81</t>
  </si>
  <si>
    <t>94-94</t>
  </si>
  <si>
    <t>51-56</t>
  </si>
  <si>
    <t>284-295</t>
  </si>
  <si>
    <t>25-25</t>
  </si>
  <si>
    <t>54-62</t>
  </si>
  <si>
    <t>Часто встречающиеся ключевые слова:</t>
  </si>
  <si>
    <t>Автоматизированные системы управления, Автоматизация, информационная система</t>
  </si>
  <si>
    <t>число статей</t>
  </si>
  <si>
    <t>Импакт фактор</t>
  </si>
  <si>
    <t>ср импакт фактор</t>
  </si>
  <si>
    <t>ср импакт фактор ВАК</t>
  </si>
  <si>
    <t>№1</t>
  </si>
  <si>
    <t>ср импакт фактор WOS</t>
  </si>
  <si>
    <t>харьков</t>
  </si>
  <si>
    <t>AGRONOMY</t>
  </si>
  <si>
    <t>SCIENTIFIC REPORTS</t>
  </si>
  <si>
    <t>№1, т. 12</t>
  </si>
  <si>
    <t>ILYUSHIN YU.V., FETISOV V.</t>
  </si>
  <si>
    <t>EXPERIENCE OF VIRTUAL COMMISSIONING OF A PROCESS CONTROL SYSTEM FOR THE PRODUCTION OF HIGH-PARAFFIN OIL</t>
  </si>
  <si>
    <t>1-11</t>
  </si>
  <si>
    <t>MONTEIRO A., SANTOS S.</t>
  </si>
  <si>
    <t xml:space="preserve">SUSTAINABLE APPROACH TO WEED MANAGEMENT: THE ROLE OF PRECISION WEED MANAGEMENT
</t>
  </si>
  <si>
    <t>AGRICULTURAL PRODUCTION, HERBICIDE RESISTANCE, SUSTAINABILITY, WEED CONTROL TECHNOLOGIES, WEED MANAGEMENT</t>
  </si>
  <si>
    <t>английский</t>
  </si>
  <si>
    <t>118с</t>
  </si>
  <si>
    <t xml:space="preserve"> 
НАУКОЕМКИЕ ТЕХНОЛОГИИ В МАШИНОСТРОЕНИИ</t>
  </si>
  <si>
    <t>ВАК и РИНЦ</t>
  </si>
  <si>
    <t>https://sccs.intelgr.com/</t>
  </si>
  <si>
    <t>http://ivdon.ru/ru/magazine/archive/n4y2018/5283</t>
  </si>
  <si>
    <t>SYSTEM ANALYSIS AND MATHEMATICAL MODELING</t>
  </si>
  <si>
    <t>Scopus и РИНЦ</t>
  </si>
  <si>
    <t>https://www.mdpi.com/2073-4395/12/1/118</t>
  </si>
  <si>
    <t>https://www.nature.com/articles/s41598-022-21778-0.pdf</t>
  </si>
  <si>
    <t>Год</t>
  </si>
  <si>
    <t xml:space="preserve">Кол-во </t>
  </si>
  <si>
    <t>Автор</t>
  </si>
  <si>
    <t>Кол-во</t>
  </si>
  <si>
    <t>ср импакт фактор РИНЦ</t>
  </si>
  <si>
    <t>ср импакт фактор Scopus</t>
  </si>
  <si>
    <t>Журнал</t>
  </si>
  <si>
    <t>Максимальное количество публикаций</t>
  </si>
  <si>
    <t>ИФ</t>
  </si>
  <si>
    <t>Максимальное ИФ у русского журнала</t>
  </si>
  <si>
    <t>Scopus и ядро РИНЦ</t>
  </si>
  <si>
    <t>MAX кол-во публикаций</t>
  </si>
  <si>
    <t>Логунова О. С.</t>
  </si>
  <si>
    <t>Легков К. Е.</t>
  </si>
  <si>
    <t>Алексеев С. А.</t>
  </si>
  <si>
    <t xml:space="preserve">ДОЛЖЕНКО В.И.
</t>
  </si>
  <si>
    <t xml:space="preserve">ДОЛЖЕНКО В.И., АВТОМОНОВ А.А., КАРТЕЧИНА Н.В., ПЧЕЛИНЦЕВА Н.В.
</t>
  </si>
  <si>
    <t>Нуйкин Д. А.</t>
  </si>
  <si>
    <t>MONTEIRO A.</t>
  </si>
  <si>
    <t>ILYUSHIN YU.V.</t>
  </si>
  <si>
    <t>Максимальный ИФ</t>
  </si>
  <si>
    <t xml:space="preserve">Требование </t>
  </si>
  <si>
    <t>Действительность</t>
  </si>
  <si>
    <t>Общее кол-во источников</t>
  </si>
  <si>
    <t>Статьи ВАК</t>
  </si>
  <si>
    <t>Открытые ресурсы</t>
  </si>
  <si>
    <t>Литература 2019-2023гг.</t>
  </si>
  <si>
    <t>Иностранные статьи</t>
  </si>
  <si>
    <t>Учебники и книги</t>
  </si>
  <si>
    <t>Средний ИФ</t>
  </si>
  <si>
    <t>Средний ИФ русского журнала</t>
  </si>
  <si>
    <t>Средний ИФ иностранного журнала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</si>
</sst>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12"/>
      <color rgb="FF64646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0" fillId="0" borderId="0" xfId="0" quotePrefix="1"/>
    <xf numFmtId="0" fontId="1" fillId="0" borderId="0" xfId="0" applyFont="1" applyAlignment="1"/>
    <xf numFmtId="0" fontId="1" fillId="0" borderId="0" xfId="0" applyFont="1" applyAlignment="1">
      <alignment wrapText="1"/>
    </xf>
    <xf numFmtId="0" fontId="4" fillId="0" borderId="0" xfId="0" applyFont="1"/>
    <xf numFmtId="0" fontId="1" fillId="0" borderId="8" xfId="0" applyFont="1" applyBorder="1"/>
    <xf numFmtId="0" fontId="1" fillId="0" borderId="5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8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0" fillId="0" borderId="0" xfId="0" applyBorder="1"/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wrapText="1"/>
    </xf>
    <xf numFmtId="0" fontId="6" fillId="0" borderId="1" xfId="1" applyFont="1" applyBorder="1"/>
    <xf numFmtId="0" fontId="6" fillId="0" borderId="18" xfId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wrapText="1"/>
    </xf>
    <xf numFmtId="0" fontId="1" fillId="0" borderId="0" xfId="0" applyFont="1" applyBorder="1" applyAlignment="1">
      <alignment horizontal="center" wrapText="1"/>
    </xf>
    <xf numFmtId="0" fontId="1" fillId="0" borderId="19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1" fillId="0" borderId="25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8" fillId="0" borderId="1" xfId="0" applyFont="1" applyBorder="1" applyAlignment="1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8" fillId="0" borderId="1" xfId="0" applyFont="1" applyFill="1" applyBorder="1" applyAlignment="1"/>
    <xf numFmtId="0" fontId="8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justify" vertical="center"/>
    </xf>
    <xf numFmtId="0" fontId="1" fillId="0" borderId="1" xfId="0" applyFont="1" applyBorder="1" applyAlignment="1"/>
    <xf numFmtId="0" fontId="2" fillId="0" borderId="1" xfId="1" applyBorder="1" applyAlignment="1">
      <alignment wrapText="1"/>
    </xf>
    <xf numFmtId="0" fontId="10" fillId="0" borderId="1" xfId="0" applyFont="1" applyBorder="1" applyAlignment="1">
      <alignment horizontal="left" vertical="center"/>
    </xf>
    <xf numFmtId="0" fontId="9" fillId="0" borderId="1" xfId="1" applyFont="1" applyBorder="1" applyAlignment="1">
      <alignment horizontal="justify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center"/>
    </xf>
    <xf numFmtId="0" fontId="2" fillId="0" borderId="1" xfId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37" xfId="0" applyFont="1" applyBorder="1" applyAlignment="1"/>
    <xf numFmtId="0" fontId="8" fillId="0" borderId="37" xfId="0" applyFont="1" applyBorder="1"/>
    <xf numFmtId="0" fontId="1" fillId="0" borderId="3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0" fontId="5" fillId="0" borderId="1" xfId="0" applyFont="1" applyFill="1" applyBorder="1" applyAlignme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4" borderId="1" xfId="0" applyFont="1" applyFill="1" applyBorder="1"/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 applyBorder="1"/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9" fontId="14" fillId="0" borderId="1" xfId="0" applyNumberFormat="1" applyFont="1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left" wrapText="1"/>
    </xf>
    <xf numFmtId="0" fontId="0" fillId="6" borderId="1" xfId="0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1" fillId="0" borderId="1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9" xfId="0" applyFont="1" applyFill="1" applyBorder="1" applyAlignment="1">
      <alignment horizontal="center" wrapText="1"/>
    </xf>
    <xf numFmtId="0" fontId="1" fillId="0" borderId="14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9" xfId="0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bar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'инф о журналах'!$B$9:$B$10</c:f>
              <c:strCache>
                <c:ptCount val="2"/>
                <c:pt idx="0">
                  <c:v>ВЕСТНИК НАЦИОНАЛЬНОГО ТЕХНИЧЕСКОГО УНИВЕРСИТЕТА ХАРЬКОВСКИЙ ПОЛИТЕХНИЧЕСКИЙ ИНСТИТУТ. СЕРИЯ: ИНФОРМАТИКА И МОДЕЛИРОВАНИЕ</c:v>
                </c:pt>
                <c:pt idx="1">
                  <c:v>INTERNATIONAL JOURNAL OF COMPUTER AIDED ENGINEERING AND TECHNOLOGY</c:v>
                </c:pt>
              </c:strCache>
            </c:strRef>
          </c:cat>
          <c:val>
            <c:numRef>
              <c:f>'инф о журналах'!$C$9:$C$10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545-408A-B147-4B2534EF092D}"/>
            </c:ext>
          </c:extLst>
        </c:ser>
        <c:dLbls/>
        <c:gapWidth val="219"/>
        <c:overlap val="-27"/>
        <c:axId val="138787456"/>
        <c:axId val="138679040"/>
      </c:barChart>
      <c:catAx>
        <c:axId val="13878745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Журнал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38679040"/>
        <c:crossesAt val="0"/>
        <c:auto val="1"/>
        <c:lblAlgn val="ctr"/>
        <c:lblOffset val="100"/>
      </c:catAx>
      <c:valAx>
        <c:axId val="138679040"/>
        <c:scaling>
          <c:orientation val="minMax"/>
          <c:max val="5"/>
        </c:scaling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Количество публикаций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387874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b="0"/>
            </a:pPr>
            <a:r>
              <a:rPr lang="ru-RU" b="0"/>
              <a:t>Количество статей о годам</a:t>
            </a:r>
          </a:p>
        </c:rich>
      </c:tx>
      <c:layout>
        <c:manualLayout>
          <c:xMode val="edge"/>
          <c:yMode val="edge"/>
          <c:x val="0.36986900537896039"/>
          <c:y val="4.3255829116281945E-2"/>
        </c:manualLayout>
      </c:layout>
    </c:title>
    <c:plotArea>
      <c:layout>
        <c:manualLayout>
          <c:layoutTarget val="inner"/>
          <c:xMode val="edge"/>
          <c:yMode val="edge"/>
          <c:x val="6.0001273213275669E-2"/>
          <c:y val="0.11860936258751399"/>
          <c:w val="0.9088894250856675"/>
          <c:h val="0.78771608564452322"/>
        </c:manualLayout>
      </c:layout>
      <c:barChart>
        <c:barDir val="col"/>
        <c:grouping val="clustered"/>
        <c:ser>
          <c:idx val="0"/>
          <c:order val="0"/>
          <c:tx>
            <c:strRef>
              <c:f>'инф о журналах'!$B$37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'инф о журналах'!$B$16:$B$34</c:f>
              <c:numCache>
                <c:formatCode>General</c:formatCod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numCache>
            </c:numRef>
          </c:cat>
          <c:val>
            <c:numRef>
              <c:f>'инф о журналах'!$C$16:$C$34</c:f>
              <c:numCache>
                <c:formatCode>General</c:formatCode>
                <c:ptCount val="19"/>
                <c:pt idx="0">
                  <c:v>64</c:v>
                </c:pt>
                <c:pt idx="1">
                  <c:v>58</c:v>
                </c:pt>
                <c:pt idx="2">
                  <c:v>57</c:v>
                </c:pt>
                <c:pt idx="3">
                  <c:v>59</c:v>
                </c:pt>
                <c:pt idx="4">
                  <c:v>58</c:v>
                </c:pt>
                <c:pt idx="5">
                  <c:v>50</c:v>
                </c:pt>
                <c:pt idx="6">
                  <c:v>50</c:v>
                </c:pt>
                <c:pt idx="7">
                  <c:v>54</c:v>
                </c:pt>
                <c:pt idx="8">
                  <c:v>53</c:v>
                </c:pt>
                <c:pt idx="9">
                  <c:v>48</c:v>
                </c:pt>
                <c:pt idx="10">
                  <c:v>36</c:v>
                </c:pt>
                <c:pt idx="11">
                  <c:v>39</c:v>
                </c:pt>
                <c:pt idx="12">
                  <c:v>35</c:v>
                </c:pt>
                <c:pt idx="13">
                  <c:v>32</c:v>
                </c:pt>
                <c:pt idx="14">
                  <c:v>28</c:v>
                </c:pt>
                <c:pt idx="15">
                  <c:v>0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DC-49AB-AC3B-AD74E4EDDD01}"/>
            </c:ext>
          </c:extLst>
        </c:ser>
        <c:ser>
          <c:idx val="1"/>
          <c:order val="1"/>
          <c:tx>
            <c:strRef>
              <c:f>'инф о журналах'!$C$37</c:f>
              <c:strCache>
                <c:ptCount val="1"/>
              </c:strCache>
            </c:strRef>
          </c:tx>
          <c:cat>
            <c:numRef>
              <c:f>'инф о журналах'!$B$16:$B$34</c:f>
              <c:numCache>
                <c:formatCode>General</c:formatCod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numCache>
            </c:numRef>
          </c:cat>
          <c:val>
            <c:numRef>
              <c:f>'инф о журналах'!$D$16:$D$34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6</c:v>
                </c:pt>
                <c:pt idx="18">
                  <c:v>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6DC-49AB-AC3B-AD74E4EDDD01}"/>
            </c:ext>
          </c:extLst>
        </c:ser>
        <c:dLbls/>
        <c:axId val="138715520"/>
        <c:axId val="138717440"/>
      </c:barChart>
      <c:catAx>
        <c:axId val="138715520"/>
        <c:scaling>
          <c:orientation val="minMax"/>
        </c:scaling>
        <c:axPos val="b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ru-RU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Год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38717440"/>
        <c:crosses val="autoZero"/>
        <c:auto val="1"/>
        <c:lblAlgn val="ctr"/>
        <c:lblOffset val="100"/>
      </c:catAx>
      <c:valAx>
        <c:axId val="138717440"/>
        <c:scaling>
          <c:orientation val="minMax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ru-RU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 статей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38715520"/>
        <c:crosses val="autoZero"/>
        <c:crossBetween val="between"/>
      </c:valAx>
    </c:plotArea>
    <c:plotVisOnly val="1"/>
    <c:dispBlanksAs val="gap"/>
  </c:chart>
  <c:spPr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barChart>
        <c:barDir val="col"/>
        <c:grouping val="clustered"/>
        <c:ser>
          <c:idx val="0"/>
          <c:order val="0"/>
          <c:tx>
            <c:v>База Цит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ru-RU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'инф о журналах'!$U$11:$U$14</c:f>
              <c:strCache>
                <c:ptCount val="4"/>
                <c:pt idx="0">
                  <c:v>РИНЦ</c:v>
                </c:pt>
                <c:pt idx="1">
                  <c:v>ВАК</c:v>
                </c:pt>
                <c:pt idx="2">
                  <c:v>Scopus</c:v>
                </c:pt>
                <c:pt idx="3">
                  <c:v>WoS</c:v>
                </c:pt>
              </c:strCache>
            </c:strRef>
          </c:cat>
          <c:val>
            <c:numRef>
              <c:f>'инф о журналах'!$V$11:$V$14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67-4641-8D04-E9C36A90F731}"/>
            </c:ext>
          </c:extLst>
        </c:ser>
        <c:dLbls/>
        <c:gapWidth val="219"/>
        <c:overlap val="-27"/>
        <c:axId val="138763648"/>
        <c:axId val="139630080"/>
      </c:barChart>
      <c:catAx>
        <c:axId val="13876364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База цитирования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39630080"/>
        <c:crossesAt val="0"/>
        <c:auto val="1"/>
        <c:lblAlgn val="ctr"/>
        <c:lblOffset val="100"/>
      </c:catAx>
      <c:valAx>
        <c:axId val="139630080"/>
        <c:scaling>
          <c:orientation val="minMax"/>
          <c:max val="12"/>
        </c:scaling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Количество публикаций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387636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0.11221389551368746"/>
          <c:y val="9.2822069764992923E-2"/>
          <c:w val="0.86677839964329051"/>
          <c:h val="0.77060761738824723"/>
        </c:manualLayout>
      </c:layout>
      <c:barChart>
        <c:barDir val="col"/>
        <c:grouping val="clustered"/>
        <c:ser>
          <c:idx val="0"/>
          <c:order val="0"/>
          <c:tx>
            <c:strRef>
              <c:f>'[1]инф о конференциях'!$M$2:$P$2</c:f>
              <c:strCache>
                <c:ptCount val="1"/>
                <c:pt idx="0">
                  <c:v>1 2 2 3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latin typeface="Times New Roman" pitchFamily="18" charset="0"/>
                    <a:cs typeface="Times New Roman" pitchFamily="18" charset="0"/>
                  </a:defRPr>
                </a:pPr>
                <a:endParaRPr lang="ru-RU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'[1]инф о конференциях'!$M$3:$P$3</c:f>
              <c:numCache>
                <c:formatCode>General</c:formatCode>
                <c:ptCount val="4"/>
                <c:pt idx="0">
                  <c:v>2016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numCache>
            </c:numRef>
          </c:cat>
          <c:val>
            <c:numRef>
              <c:f>'[1]инф о конференциях'!$M$2:$P$2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898-4EAE-93C1-E47FAA6736F3}"/>
            </c:ext>
          </c:extLst>
        </c:ser>
        <c:dLbls/>
        <c:axId val="139150848"/>
        <c:axId val="139152768"/>
      </c:barChart>
      <c:catAx>
        <c:axId val="139150848"/>
        <c:scaling>
          <c:orientation val="minMax"/>
        </c:scaling>
        <c:axPos val="b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ru-RU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Год</a:t>
                </a:r>
              </a:p>
            </c:rich>
          </c:tx>
          <c:layout/>
        </c:title>
        <c:numFmt formatCode="General" sourceLinked="1"/>
        <c:tickLblPos val="nextTo"/>
        <c:spPr>
          <a:noFill/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ru-RU"/>
          </a:p>
        </c:txPr>
        <c:crossAx val="139152768"/>
        <c:crosses val="autoZero"/>
        <c:auto val="1"/>
        <c:lblAlgn val="ctr"/>
        <c:lblOffset val="100"/>
      </c:catAx>
      <c:valAx>
        <c:axId val="139152768"/>
        <c:scaling>
          <c:orientation val="minMax"/>
          <c:max val="4"/>
          <c:min val="0"/>
        </c:scaling>
        <c:axPos val="l"/>
        <c:majorGridlines>
          <c:spPr>
            <a:ln w="9525" cmpd="sng"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ru-RU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 конференций</a:t>
                </a:r>
              </a:p>
            </c:rich>
          </c:tx>
          <c:layout>
            <c:manualLayout>
              <c:xMode val="edge"/>
              <c:yMode val="edge"/>
              <c:x val="2.5607317588079617E-2"/>
              <c:y val="0.28993088947276358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ru-RU"/>
          </a:p>
        </c:txPr>
        <c:crossAx val="139150848"/>
        <c:crosses val="autoZero"/>
        <c:crossBetween val="between"/>
        <c:majorUnit val="1"/>
      </c:valAx>
    </c:plotArea>
    <c:plotVisOnly val="1"/>
    <c:dispBlanksAs val="gap"/>
  </c:chart>
  <c:spPr>
    <a:ln>
      <a:noFill/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7.8452401132799068E-2"/>
          <c:y val="0.10594903358719153"/>
          <c:w val="0.86854866507937645"/>
          <c:h val="0.77095451492088096"/>
        </c:manualLayout>
      </c:layout>
      <c:barChart>
        <c:barDir val="col"/>
        <c:grouping val="clustered"/>
        <c:ser>
          <c:idx val="0"/>
          <c:order val="0"/>
          <c:dLbls>
            <c:txPr>
              <a:bodyPr/>
              <a:lstStyle/>
              <a:p>
                <a:pPr>
                  <a:defRPr sz="1400" b="1">
                    <a:latin typeface="Times New Roman" pitchFamily="18" charset="0"/>
                    <a:cs typeface="Times New Roman" pitchFamily="18" charset="0"/>
                  </a:defRPr>
                </a:pPr>
                <a:endParaRPr lang="ru-RU"/>
              </a:p>
            </c:txPr>
            <c:dLblPos val="outEnd"/>
            <c:showVal val="1"/>
          </c:dLbls>
          <c:cat>
            <c:strRef>
              <c:f>'[1]инф о конференциях'!$H$2:$L$2</c:f>
              <c:strCache>
                <c:ptCount val="5"/>
                <c:pt idx="0">
                  <c:v>Анкара</c:v>
                </c:pt>
                <c:pt idx="1">
                  <c:v>Стамбул</c:v>
                </c:pt>
                <c:pt idx="2">
                  <c:v>Славское</c:v>
                </c:pt>
                <c:pt idx="3">
                  <c:v>Харьков</c:v>
                </c:pt>
                <c:pt idx="4">
                  <c:v>Нью-йорк</c:v>
                </c:pt>
              </c:strCache>
            </c:strRef>
          </c:cat>
          <c:val>
            <c:numRef>
              <c:f>'[1]инф о конференциях'!$H$3:$L$3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14-47F6-8D33-959068592984}"/>
            </c:ext>
          </c:extLst>
        </c:ser>
        <c:dLbls/>
        <c:axId val="139181056"/>
        <c:axId val="139195520"/>
      </c:barChart>
      <c:catAx>
        <c:axId val="139181056"/>
        <c:scaling>
          <c:orientation val="minMax"/>
        </c:scaling>
        <c:axPos val="b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ru-RU" sz="14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Города</a:t>
                </a:r>
              </a:p>
            </c:rich>
          </c:tx>
          <c:layout>
            <c:manualLayout>
              <c:xMode val="edge"/>
              <c:yMode val="edge"/>
              <c:x val="0.47486729449145881"/>
              <c:y val="0.95992238740297409"/>
            </c:manualLayout>
          </c:layout>
        </c:title>
        <c:numFmt formatCode="General" sourceLinked="0"/>
        <c:tickLblPos val="nextTo"/>
        <c:spPr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ru-RU"/>
          </a:p>
        </c:txPr>
        <c:crossAx val="139195520"/>
        <c:crosses val="autoZero"/>
        <c:auto val="1"/>
        <c:lblAlgn val="ctr"/>
        <c:lblOffset val="100"/>
      </c:catAx>
      <c:valAx>
        <c:axId val="139195520"/>
        <c:scaling>
          <c:orientation val="minMax"/>
          <c:max val="4"/>
          <c:min val="0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ru-RU" sz="14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</a:t>
                </a:r>
                <a:r>
                  <a:rPr lang="ru-RU" sz="14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конференций</a:t>
                </a:r>
                <a:endParaRPr lang="ru-RU" sz="14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/>
            </a:pPr>
            <a:endParaRPr lang="ru-RU"/>
          </a:p>
        </c:txPr>
        <c:crossAx val="139181056"/>
        <c:crosses val="autoZero"/>
        <c:crossBetween val="between"/>
        <c:majorUnit val="1"/>
      </c:valAx>
    </c:plotArea>
    <c:plotVisOnly val="1"/>
    <c:dispBlanksAs val="gap"/>
  </c:chart>
  <c:spPr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8.9618658336312232E-2"/>
          <c:y val="7.1830192296715639E-2"/>
          <c:w val="0.86727543708369093"/>
          <c:h val="0.75476380390096409"/>
        </c:manualLayout>
      </c:layout>
      <c:barChart>
        <c:barDir val="col"/>
        <c:grouping val="clustered"/>
        <c:ser>
          <c:idx val="0"/>
          <c:order val="0"/>
          <c:tx>
            <c:strRef>
              <c:f>'подбор статей'!$Q$2:$Q$6</c:f>
              <c:strCache>
                <c:ptCount val="1"/>
                <c:pt idx="0">
                  <c:v>2018 2019 2020 2021 2022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ru-RU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'подбор статей'!$Q$2:$Q$6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'подбор статей'!$R$2:$R$6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035-4247-AADA-0DF0BA4DA8EA}"/>
            </c:ext>
          </c:extLst>
        </c:ser>
        <c:dLbls>
          <c:showVal val="1"/>
        </c:dLbls>
        <c:gapWidth val="219"/>
        <c:overlap val="-27"/>
        <c:axId val="140080256"/>
        <c:axId val="140082176"/>
      </c:barChart>
      <c:catAx>
        <c:axId val="14008025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Год публикации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0082176"/>
        <c:crosses val="autoZero"/>
        <c:auto val="1"/>
        <c:lblAlgn val="ctr"/>
        <c:lblOffset val="100"/>
      </c:catAx>
      <c:valAx>
        <c:axId val="140082176"/>
        <c:scaling>
          <c:orientation val="minMax"/>
          <c:max val="8"/>
        </c:scaling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Количество изданных публикаций</a:t>
                </a:r>
              </a:p>
            </c:rich>
          </c:tx>
          <c:layout>
            <c:manualLayout>
              <c:xMode val="edge"/>
              <c:yMode val="edge"/>
              <c:x val="1.1343659099999456E-2"/>
              <c:y val="0.18653899458359113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0080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'подбор статей'!$AS$1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400" b="1"/>
                      <a:t>14</a:t>
                    </a:r>
                  </a:p>
                </c:rich>
              </c:tx>
              <c:dLblPos val="outEnd"/>
              <c:showVal val="1"/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ru-RU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'подбор статей'!$AR$2:$AR$5</c:f>
              <c:strCache>
                <c:ptCount val="4"/>
                <c:pt idx="0">
                  <c:v>РИНЦ</c:v>
                </c:pt>
                <c:pt idx="1">
                  <c:v>BAK</c:v>
                </c:pt>
                <c:pt idx="2">
                  <c:v>WoS</c:v>
                </c:pt>
                <c:pt idx="3">
                  <c:v>Scopus</c:v>
                </c:pt>
              </c:strCache>
            </c:strRef>
          </c:cat>
          <c:val>
            <c:numRef>
              <c:f>'подбор статей'!$AS$2:$AS$5</c:f>
              <c:numCache>
                <c:formatCode>General</c:formatCode>
                <c:ptCount val="4"/>
                <c:pt idx="0">
                  <c:v>17</c:v>
                </c:pt>
                <c:pt idx="1">
                  <c:v>14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D31-4AAC-B965-E0911520AED6}"/>
            </c:ext>
          </c:extLst>
        </c:ser>
        <c:dLbls>
          <c:showVal val="1"/>
        </c:dLbls>
        <c:gapWidth val="219"/>
        <c:overlap val="-27"/>
        <c:axId val="140106368"/>
        <c:axId val="140145408"/>
      </c:barChart>
      <c:catAx>
        <c:axId val="14010636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База цитирования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0145408"/>
        <c:crosses val="autoZero"/>
        <c:auto val="1"/>
        <c:lblAlgn val="ctr"/>
        <c:lblOffset val="100"/>
      </c:catAx>
      <c:valAx>
        <c:axId val="1401454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Количество публикаций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010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'подбор статей'!$AD$1</c:f>
              <c:strCache>
                <c:ptCount val="1"/>
                <c:pt idx="0">
                  <c:v>Кол-во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ru-RU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'подбор статей'!$AC$2:$AC$14</c:f>
              <c:strCache>
                <c:ptCount val="13"/>
                <c:pt idx="0">
                  <c:v>Н.В. Суханова</c:v>
                </c:pt>
                <c:pt idx="1">
                  <c:v>В.Б. Вечеркин</c:v>
                </c:pt>
                <c:pt idx="2">
                  <c:v>Логунова О. С.</c:v>
                </c:pt>
                <c:pt idx="3">
                  <c:v>И.С. Полевщиков</c:v>
                </c:pt>
                <c:pt idx="4">
                  <c:v>Легков К. Е.</c:v>
                </c:pt>
                <c:pt idx="5">
                  <c:v>Алексеев С. А.</c:v>
                </c:pt>
                <c:pt idx="6">
                  <c:v>Луков Д.К</c:v>
                </c:pt>
                <c:pt idx="7">
                  <c:v>Е.В. Ефромеева</c:v>
                </c:pt>
                <c:pt idx="8">
                  <c:v>Ю. Б. Попова</c:v>
                </c:pt>
                <c:pt idx="9">
                  <c:v>Е.В. Лощенко</c:v>
                </c:pt>
                <c:pt idx="10">
                  <c:v>ДОЛЖЕНКО В.И.
</c:v>
                </c:pt>
                <c:pt idx="11">
                  <c:v>Э. М. Львович</c:v>
                </c:pt>
                <c:pt idx="12">
                  <c:v>Нуйкин Д. А.</c:v>
                </c:pt>
              </c:strCache>
            </c:strRef>
          </c:cat>
          <c:val>
            <c:numRef>
              <c:f>'подбор статей'!$AD$2:$AD$14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035-4247-AADA-0DF0BA4DA8EA}"/>
            </c:ext>
          </c:extLst>
        </c:ser>
        <c:dLbls>
          <c:showVal val="1"/>
        </c:dLbls>
        <c:gapWidth val="219"/>
        <c:overlap val="-27"/>
        <c:axId val="140198656"/>
        <c:axId val="140200576"/>
      </c:barChart>
      <c:catAx>
        <c:axId val="14019865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Имя</a:t>
                </a:r>
                <a:r>
                  <a:rPr lang="ru-RU" sz="1400" b="1" baseline="0"/>
                  <a:t> автора</a:t>
                </a:r>
                <a:endParaRPr lang="ru-RU" sz="1400" b="1"/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0200576"/>
        <c:crosses val="autoZero"/>
        <c:auto val="1"/>
        <c:lblAlgn val="ctr"/>
        <c:lblOffset val="100"/>
      </c:catAx>
      <c:valAx>
        <c:axId val="140200576"/>
        <c:scaling>
          <c:orientation val="minMax"/>
          <c:max val="3"/>
        </c:scaling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Количество</a:t>
                </a:r>
                <a:r>
                  <a:rPr lang="ru-RU" sz="1400" b="1" baseline="0"/>
                  <a:t> публиций</a:t>
                </a:r>
                <a:endParaRPr lang="ru-RU" sz="1400" b="1"/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01986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0.17731570515456466"/>
          <c:y val="0.112546775548236"/>
          <c:w val="0.75232325481828377"/>
          <c:h val="0.74697672404321402"/>
        </c:manualLayout>
      </c:layout>
      <c:barChart>
        <c:barDir val="col"/>
        <c:grouping val="clustered"/>
        <c:ser>
          <c:idx val="0"/>
          <c:order val="0"/>
          <c:tx>
            <c:v>Импакт фактор ср</c:v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ru-RU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'подбор статей'!$BD$1:$BH$1</c:f>
              <c:strCache>
                <c:ptCount val="5"/>
                <c:pt idx="0">
                  <c:v>ср импакт фактор</c:v>
                </c:pt>
                <c:pt idx="1">
                  <c:v>ср импакт фактор ВАК</c:v>
                </c:pt>
                <c:pt idx="2">
                  <c:v>ср импакт фактор WOS</c:v>
                </c:pt>
                <c:pt idx="3">
                  <c:v>ср импакт фактор РИНЦ</c:v>
                </c:pt>
                <c:pt idx="4">
                  <c:v>ср импакт фактор Scopus</c:v>
                </c:pt>
              </c:strCache>
            </c:strRef>
          </c:cat>
          <c:val>
            <c:numRef>
              <c:f>'подбор статей'!$BD$2:$BH$2</c:f>
              <c:numCache>
                <c:formatCode>General</c:formatCode>
                <c:ptCount val="5"/>
                <c:pt idx="0">
                  <c:v>0.92117647058823526</c:v>
                </c:pt>
                <c:pt idx="1">
                  <c:v>0.49139999999999995</c:v>
                </c:pt>
                <c:pt idx="2">
                  <c:v>0.47299999999999998</c:v>
                </c:pt>
                <c:pt idx="3">
                  <c:v>0.92117647058823526</c:v>
                </c:pt>
                <c:pt idx="4">
                  <c:v>3.6425000000000001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0A-4D7A-B321-E24DFC1EC959}"/>
            </c:ext>
          </c:extLst>
        </c:ser>
        <c:dLbls/>
        <c:gapWidth val="219"/>
        <c:overlap val="-27"/>
        <c:axId val="140224768"/>
        <c:axId val="140234752"/>
      </c:barChart>
      <c:catAx>
        <c:axId val="14022476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b="0"/>
            </a:pPr>
            <a:endParaRPr lang="ru-RU"/>
          </a:p>
        </c:txPr>
        <c:crossAx val="140234752"/>
        <c:crosses val="autoZero"/>
        <c:auto val="1"/>
        <c:lblAlgn val="ctr"/>
        <c:lblOffset val="100"/>
      </c:catAx>
      <c:valAx>
        <c:axId val="14023475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400" b="1"/>
                </a:pPr>
                <a:r>
                  <a:rPr lang="ru-RU" sz="1400" b="1"/>
                  <a:t>Импакт фактор</a:t>
                </a:r>
              </a:p>
            </c:rich>
          </c:tx>
          <c:layout>
            <c:manualLayout>
              <c:xMode val="edge"/>
              <c:yMode val="edge"/>
              <c:x val="3.369965879637591E-2"/>
              <c:y val="0.32078650256228636"/>
            </c:manualLayout>
          </c:layout>
        </c:title>
        <c:numFmt formatCode="General" sourceLinked="1"/>
        <c:tickLblPos val="nextTo"/>
        <c:spPr>
          <a:noFill/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1402247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40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'подбор статей'!$CH$1</c:f>
              <c:strCache>
                <c:ptCount val="1"/>
                <c:pt idx="0">
                  <c:v>Требование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ru-RU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'подбор статей'!$CG$2:$CG$7</c:f>
              <c:strCache>
                <c:ptCount val="6"/>
                <c:pt idx="0">
                  <c:v>Общее кол-во источников</c:v>
                </c:pt>
                <c:pt idx="1">
                  <c:v>Иностранные статьи</c:v>
                </c:pt>
                <c:pt idx="2">
                  <c:v>Статьи ВАК</c:v>
                </c:pt>
                <c:pt idx="3">
                  <c:v>Учебники и книги</c:v>
                </c:pt>
                <c:pt idx="4">
                  <c:v>Открытые ресурсы</c:v>
                </c:pt>
                <c:pt idx="5">
                  <c:v>Литература 2019-2023гг.</c:v>
                </c:pt>
              </c:strCache>
            </c:strRef>
          </c:cat>
          <c:val>
            <c:numRef>
              <c:f>'подбор статей'!$CH$2:$CH$7</c:f>
              <c:numCache>
                <c:formatCode>0%</c:formatCode>
                <c:ptCount val="6"/>
                <c:pt idx="0">
                  <c:v>1</c:v>
                </c:pt>
                <c:pt idx="1">
                  <c:v>0.3</c:v>
                </c:pt>
                <c:pt idx="2">
                  <c:v>0.3</c:v>
                </c:pt>
                <c:pt idx="3">
                  <c:v>0.1</c:v>
                </c:pt>
                <c:pt idx="4">
                  <c:v>0.05</c:v>
                </c:pt>
                <c:pt idx="5">
                  <c:v>0.6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D31-4AAC-B965-E0911520AED6}"/>
            </c:ext>
          </c:extLst>
        </c:ser>
        <c:ser>
          <c:idx val="1"/>
          <c:order val="1"/>
          <c:tx>
            <c:strRef>
              <c:f>'подбор статей'!$CI$2</c:f>
              <c:strCache>
                <c:ptCount val="1"/>
                <c:pt idx="0">
                  <c:v>100%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'подбор статей'!$CG$2:$CG$7</c:f>
              <c:strCache>
                <c:ptCount val="6"/>
                <c:pt idx="0">
                  <c:v>Общее кол-во источников</c:v>
                </c:pt>
                <c:pt idx="1">
                  <c:v>Иностранные статьи</c:v>
                </c:pt>
                <c:pt idx="2">
                  <c:v>Статьи ВАК</c:v>
                </c:pt>
                <c:pt idx="3">
                  <c:v>Учебники и книги</c:v>
                </c:pt>
                <c:pt idx="4">
                  <c:v>Открытые ресурсы</c:v>
                </c:pt>
                <c:pt idx="5">
                  <c:v>Литература 2019-2023гг.</c:v>
                </c:pt>
              </c:strCache>
            </c:strRef>
          </c:cat>
          <c:val>
            <c:numRef>
              <c:f>'подбор статей'!$CI$2:$CI$7</c:f>
              <c:numCache>
                <c:formatCode>0%</c:formatCode>
                <c:ptCount val="6"/>
                <c:pt idx="0">
                  <c:v>1</c:v>
                </c:pt>
                <c:pt idx="1">
                  <c:v>0.11</c:v>
                </c:pt>
                <c:pt idx="2">
                  <c:v>0.82</c:v>
                </c:pt>
                <c:pt idx="3">
                  <c:v>0</c:v>
                </c:pt>
                <c:pt idx="4">
                  <c:v>0</c:v>
                </c:pt>
                <c:pt idx="5">
                  <c:v>0.59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2A9-4BBE-B486-0A8AC62DB8C2}"/>
            </c:ext>
          </c:extLst>
        </c:ser>
        <c:dLbls>
          <c:showVal val="1"/>
        </c:dLbls>
        <c:gapWidth val="219"/>
        <c:overlap val="-27"/>
        <c:axId val="140026240"/>
        <c:axId val="140028160"/>
      </c:barChart>
      <c:catAx>
        <c:axId val="14002624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 b="1"/>
                  <a:t>База цитирования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0028160"/>
        <c:crosses val="autoZero"/>
        <c:auto val="1"/>
        <c:lblAlgn val="ctr"/>
        <c:lblOffset val="100"/>
      </c:catAx>
      <c:valAx>
        <c:axId val="140028160"/>
        <c:scaling>
          <c:orientation val="minMax"/>
          <c:max val="1"/>
        </c:scaling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Количество публикаций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%" sourceLinked="1"/>
        <c:tickLblPos val="nextTo"/>
        <c:spPr>
          <a:noFill/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4002624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781050</xdr:colOff>
      <xdr:row>8</xdr:row>
      <xdr:rowOff>139700</xdr:rowOff>
    </xdr:from>
    <xdr:to>
      <xdr:col>11</xdr:col>
      <xdr:colOff>420700</xdr:colOff>
      <xdr:row>19</xdr:row>
      <xdr:rowOff>50799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612322</xdr:colOff>
      <xdr:row>20</xdr:row>
      <xdr:rowOff>107248</xdr:rowOff>
    </xdr:from>
    <xdr:to>
      <xdr:col>20</xdr:col>
      <xdr:colOff>564326</xdr:colOff>
      <xdr:row>52</xdr:row>
      <xdr:rowOff>176891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433160</xdr:colOff>
      <xdr:row>5</xdr:row>
      <xdr:rowOff>111125</xdr:rowOff>
    </xdr:from>
    <xdr:to>
      <xdr:col>26</xdr:col>
      <xdr:colOff>104560</xdr:colOff>
      <xdr:row>9</xdr:row>
      <xdr:rowOff>498474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592094</xdr:colOff>
      <xdr:row>3</xdr:row>
      <xdr:rowOff>141588</xdr:rowOff>
    </xdr:from>
    <xdr:to>
      <xdr:col>17</xdr:col>
      <xdr:colOff>445840</xdr:colOff>
      <xdr:row>5</xdr:row>
      <xdr:rowOff>541555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339966</xdr:colOff>
      <xdr:row>6</xdr:row>
      <xdr:rowOff>50815</xdr:rowOff>
    </xdr:from>
    <xdr:to>
      <xdr:col>22</xdr:col>
      <xdr:colOff>455810</xdr:colOff>
      <xdr:row>9</xdr:row>
      <xdr:rowOff>661713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211336</xdr:colOff>
      <xdr:row>1</xdr:row>
      <xdr:rowOff>3705</xdr:rowOff>
    </xdr:from>
    <xdr:to>
      <xdr:col>27</xdr:col>
      <xdr:colOff>309837</xdr:colOff>
      <xdr:row>6</xdr:row>
      <xdr:rowOff>191669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515190</xdr:colOff>
      <xdr:row>0</xdr:row>
      <xdr:rowOff>323491</xdr:rowOff>
    </xdr:from>
    <xdr:to>
      <xdr:col>53</xdr:col>
      <xdr:colOff>515190</xdr:colOff>
      <xdr:row>5</xdr:row>
      <xdr:rowOff>635000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287144</xdr:colOff>
      <xdr:row>0</xdr:row>
      <xdr:rowOff>360127</xdr:rowOff>
    </xdr:from>
    <xdr:to>
      <xdr:col>42</xdr:col>
      <xdr:colOff>115267</xdr:colOff>
      <xdr:row>8</xdr:row>
      <xdr:rowOff>63594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371412</xdr:colOff>
      <xdr:row>0</xdr:row>
      <xdr:rowOff>299528</xdr:rowOff>
    </xdr:from>
    <xdr:to>
      <xdr:col>73</xdr:col>
      <xdr:colOff>27497</xdr:colOff>
      <xdr:row>12</xdr:row>
      <xdr:rowOff>454585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89</xdr:col>
      <xdr:colOff>0</xdr:colOff>
      <xdr:row>2</xdr:row>
      <xdr:rowOff>0</xdr:rowOff>
    </xdr:from>
    <xdr:to>
      <xdr:col>98</xdr:col>
      <xdr:colOff>508000</xdr:colOff>
      <xdr:row>6</xdr:row>
      <xdr:rowOff>766978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vgeniy/Downloads/Telegram%20Desktop/&#1082;&#1086;&#1083;&#1080;&#1095;&#1077;&#1089;&#1090;&#1074;&#1086;%20&#1087;&#1091;&#1073;&#1083;&#1080;&#1082;&#1072;&#1094;&#1080;&#108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ф об авторе и статьях"/>
      <sheetName val="инф о журналах"/>
      <sheetName val="инф о конференциях"/>
      <sheetName val="подбор статей"/>
      <sheetName val="Лист1"/>
    </sheetNames>
    <sheetDataSet>
      <sheetData sheetId="0"/>
      <sheetData sheetId="1"/>
      <sheetData sheetId="2">
        <row r="2">
          <cell r="H2" t="str">
            <v>Анкара</v>
          </cell>
          <cell r="I2" t="str">
            <v>Стамбул</v>
          </cell>
          <cell r="J2" t="str">
            <v>Славское</v>
          </cell>
          <cell r="K2" t="str">
            <v>Харьков</v>
          </cell>
          <cell r="L2" t="str">
            <v>Нью-йорк</v>
          </cell>
          <cell r="M2">
            <v>1</v>
          </cell>
          <cell r="N2">
            <v>2</v>
          </cell>
          <cell r="O2">
            <v>2</v>
          </cell>
          <cell r="P2">
            <v>3</v>
          </cell>
        </row>
        <row r="3">
          <cell r="H3">
            <v>1</v>
          </cell>
          <cell r="I3">
            <v>1</v>
          </cell>
          <cell r="J3">
            <v>1</v>
          </cell>
          <cell r="K3">
            <v>3</v>
          </cell>
          <cell r="L3">
            <v>2</v>
          </cell>
          <cell r="M3">
            <v>2016</v>
          </cell>
          <cell r="N3">
            <v>2020</v>
          </cell>
          <cell r="O3">
            <v>2021</v>
          </cell>
          <cell r="P3">
            <v>2022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инф о конференция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archworks.stanford.edu/view/14125684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istina.msu.ru/collections/465891090/" TargetMode="External"/><Relationship Id="rId1" Type="http://schemas.openxmlformats.org/officeDocument/2006/relationships/hyperlink" Target="http://pim.net.ua/" TargetMode="External"/><Relationship Id="rId6" Type="http://schemas.openxmlformats.org/officeDocument/2006/relationships/hyperlink" Target="https://www.sciencegate.app/source/86063966" TargetMode="External"/><Relationship Id="rId5" Type="http://schemas.openxmlformats.org/officeDocument/2006/relationships/hyperlink" Target="https://www.sciencegate.app/source/1473423392" TargetMode="External"/><Relationship Id="rId4" Type="http://schemas.openxmlformats.org/officeDocument/2006/relationships/hyperlink" Target="https://www.inderscience.com/jhome.php?jcode=ijcae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ibrary.ru/download/elibrary_36815524_52038857.pdf" TargetMode="External"/><Relationship Id="rId13" Type="http://schemas.openxmlformats.org/officeDocument/2006/relationships/hyperlink" Target="https://www.elibrary.ru/download/elibrary_36434916_19384744.pdf" TargetMode="External"/><Relationship Id="rId18" Type="http://schemas.openxmlformats.org/officeDocument/2006/relationships/drawing" Target="../drawings/drawing3.xml"/><Relationship Id="rId3" Type="http://schemas.openxmlformats.org/officeDocument/2006/relationships/hyperlink" Target="https://www.elibrary.ru/download/elibrary_41321527_75777566.pdf" TargetMode="External"/><Relationship Id="rId7" Type="http://schemas.openxmlformats.org/officeDocument/2006/relationships/hyperlink" Target="http://ivdon.ru/ru/magazine/archive/n4y2018/5283" TargetMode="External"/><Relationship Id="rId12" Type="http://schemas.openxmlformats.org/officeDocument/2006/relationships/hyperlink" Target="https://www.elibrary.ru/download/elibrary_36763349_77279946.pdf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https://www.elibrary.ru/download/elibrary_44670815_88334939.pdf" TargetMode="External"/><Relationship Id="rId16" Type="http://schemas.openxmlformats.org/officeDocument/2006/relationships/hyperlink" Target="https://www.nature.com/articles/s41598-022-21778-0.pdf" TargetMode="External"/><Relationship Id="rId1" Type="http://schemas.openxmlformats.org/officeDocument/2006/relationships/hyperlink" Target="https://www.elibrary.ru/download/elibrary_37750404_31788308.pdf" TargetMode="External"/><Relationship Id="rId6" Type="http://schemas.openxmlformats.org/officeDocument/2006/relationships/hyperlink" Target="https://www.elibrary.ru/download/elibrary_36776118_72754952.pdf" TargetMode="External"/><Relationship Id="rId11" Type="http://schemas.openxmlformats.org/officeDocument/2006/relationships/hyperlink" Target="https://www.elibrary.ru/download/elibrary_46370352_98932626.pdf" TargetMode="External"/><Relationship Id="rId5" Type="http://schemas.openxmlformats.org/officeDocument/2006/relationships/hyperlink" Target="https://sccs.intelgr.com/" TargetMode="External"/><Relationship Id="rId15" Type="http://schemas.openxmlformats.org/officeDocument/2006/relationships/hyperlink" Target="https://www.elibrary.ru/download/elibrary_36586889_41950662.pdf" TargetMode="External"/><Relationship Id="rId10" Type="http://schemas.openxmlformats.org/officeDocument/2006/relationships/hyperlink" Target="https://www.elibrary.ru/download/elibrary_46543375_91412484.pdf" TargetMode="External"/><Relationship Id="rId4" Type="http://schemas.openxmlformats.org/officeDocument/2006/relationships/hyperlink" Target="https://www.elibrary.ru/download/elibrary_44252647_53379189.pdf" TargetMode="External"/><Relationship Id="rId9" Type="http://schemas.openxmlformats.org/officeDocument/2006/relationships/hyperlink" Target="https://www.elibrary.ru/download/elibrary_37282235_36710183.pdf" TargetMode="External"/><Relationship Id="rId14" Type="http://schemas.openxmlformats.org/officeDocument/2006/relationships/hyperlink" Target="https://www.elibrary.ru/download/elibrary_43830172_6878064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opLeftCell="A10" zoomScale="70" zoomScaleNormal="70" workbookViewId="0">
      <selection activeCell="F3" sqref="F3:J3"/>
    </sheetView>
  </sheetViews>
  <sheetFormatPr defaultRowHeight="14.5"/>
  <cols>
    <col min="1" max="1" width="59.453125" customWidth="1"/>
    <col min="2" max="2" width="45.81640625" customWidth="1"/>
    <col min="3" max="3" width="9.54296875" customWidth="1"/>
    <col min="4" max="4" width="10.54296875" customWidth="1"/>
    <col min="6" max="6" width="22.54296875" customWidth="1"/>
    <col min="7" max="7" width="13.81640625" customWidth="1"/>
  </cols>
  <sheetData>
    <row r="1" spans="1:13" ht="15.5">
      <c r="A1" s="5" t="s">
        <v>0</v>
      </c>
      <c r="B1" s="5" t="s">
        <v>123</v>
      </c>
      <c r="C1" s="5"/>
      <c r="D1" s="5"/>
      <c r="E1" s="5"/>
      <c r="F1" s="5"/>
      <c r="G1" s="2"/>
    </row>
    <row r="2" spans="1:13" ht="16" thickBot="1">
      <c r="A2" s="3"/>
      <c r="B2" s="3"/>
      <c r="C2" s="3"/>
      <c r="D2" s="3"/>
      <c r="E2" s="3"/>
      <c r="F2" s="3"/>
    </row>
    <row r="3" spans="1:13" ht="16.5" customHeight="1" thickBot="1">
      <c r="A3" s="126" t="s">
        <v>163</v>
      </c>
      <c r="B3" s="127"/>
      <c r="C3" s="3"/>
      <c r="D3" s="3"/>
      <c r="E3" s="3"/>
      <c r="F3" s="128" t="s">
        <v>189</v>
      </c>
      <c r="G3" s="128"/>
      <c r="H3" s="128"/>
      <c r="I3" s="128"/>
      <c r="J3" s="128"/>
    </row>
    <row r="4" spans="1:13" ht="15.5">
      <c r="A4" s="8" t="s">
        <v>6</v>
      </c>
      <c r="B4" s="10">
        <v>101</v>
      </c>
      <c r="C4" s="3"/>
      <c r="D4" s="3"/>
      <c r="E4" s="3"/>
      <c r="F4" s="3"/>
    </row>
    <row r="5" spans="1:13" ht="15.5">
      <c r="A5" s="8" t="s">
        <v>7</v>
      </c>
      <c r="B5" s="11">
        <v>310</v>
      </c>
      <c r="C5" s="3"/>
      <c r="D5" s="3"/>
      <c r="E5" s="3"/>
      <c r="F5" s="3"/>
    </row>
    <row r="6" spans="1:13" ht="16" thickBot="1">
      <c r="A6" s="9" t="s">
        <v>8</v>
      </c>
      <c r="B6" s="12">
        <v>5</v>
      </c>
      <c r="C6" s="3"/>
      <c r="D6" s="3"/>
      <c r="E6" s="3"/>
      <c r="F6" s="3"/>
    </row>
    <row r="7" spans="1:13" ht="15" thickBot="1"/>
    <row r="8" spans="1:13" s="1" customFormat="1" ht="43.5" customHeight="1" thickBot="1">
      <c r="A8" s="120" t="s">
        <v>164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2"/>
    </row>
    <row r="9" spans="1:13" s="1" customFormat="1" ht="43.5" customHeight="1" thickBot="1">
      <c r="A9" s="24" t="s">
        <v>1</v>
      </c>
      <c r="B9" s="25" t="s">
        <v>2</v>
      </c>
      <c r="C9" s="26" t="s">
        <v>3</v>
      </c>
      <c r="D9" s="25" t="s">
        <v>4</v>
      </c>
      <c r="E9" s="26" t="s">
        <v>5</v>
      </c>
      <c r="F9" s="123" t="s">
        <v>149</v>
      </c>
      <c r="G9" s="124"/>
      <c r="H9" s="124"/>
      <c r="I9" s="124"/>
      <c r="J9" s="124"/>
      <c r="K9" s="124"/>
      <c r="L9" s="124"/>
      <c r="M9" s="125"/>
    </row>
    <row r="10" spans="1:13" s="1" customFormat="1" ht="99.65" customHeight="1" thickBot="1">
      <c r="A10" s="13" t="s">
        <v>146</v>
      </c>
      <c r="B10" s="15" t="s">
        <v>138</v>
      </c>
      <c r="C10" s="19" t="s">
        <v>142</v>
      </c>
      <c r="D10" s="22" t="s">
        <v>141</v>
      </c>
      <c r="E10" s="19">
        <v>2020</v>
      </c>
      <c r="F10" s="117" t="s">
        <v>165</v>
      </c>
      <c r="G10" s="118"/>
      <c r="H10" s="118"/>
      <c r="I10" s="118"/>
      <c r="J10" s="118"/>
      <c r="K10" s="118"/>
      <c r="L10" s="118"/>
      <c r="M10" s="119"/>
    </row>
    <row r="11" spans="1:13" s="1" customFormat="1" ht="99.65" customHeight="1" thickBot="1">
      <c r="A11" s="13" t="s">
        <v>147</v>
      </c>
      <c r="B11" s="16" t="s">
        <v>148</v>
      </c>
      <c r="C11" s="17" t="s">
        <v>142</v>
      </c>
      <c r="D11" s="21" t="s">
        <v>141</v>
      </c>
      <c r="E11" s="17">
        <v>2020</v>
      </c>
      <c r="F11" s="117" t="s">
        <v>166</v>
      </c>
      <c r="G11" s="118"/>
      <c r="H11" s="118"/>
      <c r="I11" s="118"/>
      <c r="J11" s="118"/>
      <c r="K11" s="118"/>
      <c r="L11" s="118"/>
      <c r="M11" s="119"/>
    </row>
    <row r="12" spans="1:13" s="1" customFormat="1" ht="99.65" customHeight="1" thickBot="1">
      <c r="A12" s="13" t="s">
        <v>143</v>
      </c>
      <c r="B12" s="16" t="s">
        <v>140</v>
      </c>
      <c r="C12" s="17" t="s">
        <v>142</v>
      </c>
      <c r="D12" s="20" t="s">
        <v>141</v>
      </c>
      <c r="E12" s="17">
        <v>2022</v>
      </c>
      <c r="F12" s="117" t="s">
        <v>167</v>
      </c>
      <c r="G12" s="118"/>
      <c r="H12" s="118"/>
      <c r="I12" s="118"/>
      <c r="J12" s="118"/>
      <c r="K12" s="118"/>
      <c r="L12" s="118"/>
      <c r="M12" s="119"/>
    </row>
    <row r="13" spans="1:13" s="1" customFormat="1" ht="99.65" customHeight="1" thickBot="1">
      <c r="A13" s="13" t="s">
        <v>144</v>
      </c>
      <c r="B13" s="16" t="s">
        <v>139</v>
      </c>
      <c r="C13" s="17" t="s">
        <v>142</v>
      </c>
      <c r="D13" s="20" t="s">
        <v>141</v>
      </c>
      <c r="E13" s="17">
        <v>2021</v>
      </c>
      <c r="F13" s="117" t="s">
        <v>168</v>
      </c>
      <c r="G13" s="118"/>
      <c r="H13" s="118"/>
      <c r="I13" s="118"/>
      <c r="J13" s="118"/>
      <c r="K13" s="118"/>
      <c r="L13" s="118"/>
      <c r="M13" s="119"/>
    </row>
    <row r="14" spans="1:13" s="1" customFormat="1" ht="99.65" customHeight="1" thickBot="1">
      <c r="A14" s="13" t="s">
        <v>134</v>
      </c>
      <c r="B14" s="17" t="s">
        <v>129</v>
      </c>
      <c r="C14" s="17" t="s">
        <v>137</v>
      </c>
      <c r="D14" s="17" t="s">
        <v>135</v>
      </c>
      <c r="E14" s="17">
        <v>2020</v>
      </c>
      <c r="F14" s="117" t="s">
        <v>169</v>
      </c>
      <c r="G14" s="118"/>
      <c r="H14" s="118"/>
      <c r="I14" s="118"/>
      <c r="J14" s="118"/>
      <c r="K14" s="118"/>
      <c r="L14" s="118"/>
      <c r="M14" s="119"/>
    </row>
    <row r="15" spans="1:13" s="1" customFormat="1" ht="99.65" customHeight="1" thickBot="1">
      <c r="A15" s="13" t="s">
        <v>124</v>
      </c>
      <c r="B15" s="17" t="s">
        <v>129</v>
      </c>
      <c r="C15" s="17" t="s">
        <v>137</v>
      </c>
      <c r="D15" s="17" t="s">
        <v>130</v>
      </c>
      <c r="E15" s="17">
        <v>2019</v>
      </c>
      <c r="F15" s="117" t="s">
        <v>170</v>
      </c>
      <c r="G15" s="118"/>
      <c r="H15" s="118"/>
      <c r="I15" s="118"/>
      <c r="J15" s="118"/>
      <c r="K15" s="118"/>
      <c r="L15" s="118"/>
      <c r="M15" s="119"/>
    </row>
    <row r="16" spans="1:13" s="1" customFormat="1" ht="99.65" customHeight="1" thickBot="1">
      <c r="A16" s="13" t="s">
        <v>125</v>
      </c>
      <c r="B16" s="17" t="s">
        <v>129</v>
      </c>
      <c r="C16" s="17" t="s">
        <v>137</v>
      </c>
      <c r="D16" s="17" t="s">
        <v>131</v>
      </c>
      <c r="E16" s="17">
        <v>2019</v>
      </c>
      <c r="F16" s="117" t="s">
        <v>171</v>
      </c>
      <c r="G16" s="118"/>
      <c r="H16" s="118"/>
      <c r="I16" s="118"/>
      <c r="J16" s="118"/>
      <c r="K16" s="118"/>
      <c r="L16" s="118"/>
      <c r="M16" s="119"/>
    </row>
    <row r="17" spans="1:13" s="1" customFormat="1" ht="99.65" customHeight="1" thickBot="1">
      <c r="A17" s="13" t="s">
        <v>126</v>
      </c>
      <c r="B17" s="17" t="s">
        <v>129</v>
      </c>
      <c r="C17" s="17" t="s">
        <v>137</v>
      </c>
      <c r="D17" s="17" t="s">
        <v>132</v>
      </c>
      <c r="E17" s="17">
        <v>2018</v>
      </c>
      <c r="F17" s="117" t="s">
        <v>172</v>
      </c>
      <c r="G17" s="118"/>
      <c r="H17" s="118"/>
      <c r="I17" s="118"/>
      <c r="J17" s="118"/>
      <c r="K17" s="118"/>
      <c r="L17" s="118"/>
      <c r="M17" s="119"/>
    </row>
    <row r="18" spans="1:13" ht="99.65" customHeight="1" thickBot="1">
      <c r="A18" s="13" t="s">
        <v>127</v>
      </c>
      <c r="B18" s="17" t="s">
        <v>129</v>
      </c>
      <c r="C18" s="17" t="s">
        <v>137</v>
      </c>
      <c r="D18" s="17" t="s">
        <v>132</v>
      </c>
      <c r="E18" s="17">
        <v>2018</v>
      </c>
      <c r="F18" s="117" t="s">
        <v>173</v>
      </c>
      <c r="G18" s="118"/>
      <c r="H18" s="118"/>
      <c r="I18" s="118"/>
      <c r="J18" s="118"/>
      <c r="K18" s="118"/>
      <c r="L18" s="118"/>
      <c r="M18" s="119"/>
    </row>
    <row r="19" spans="1:13" ht="99.65" customHeight="1" thickBot="1">
      <c r="A19" s="13" t="s">
        <v>128</v>
      </c>
      <c r="B19" s="17" t="s">
        <v>129</v>
      </c>
      <c r="C19" s="17" t="s">
        <v>137</v>
      </c>
      <c r="D19" s="17" t="s">
        <v>133</v>
      </c>
      <c r="E19" s="17">
        <v>2018</v>
      </c>
      <c r="F19" s="117" t="s">
        <v>175</v>
      </c>
      <c r="G19" s="118"/>
      <c r="H19" s="118"/>
      <c r="I19" s="118"/>
      <c r="J19" s="118"/>
      <c r="K19" s="118"/>
      <c r="L19" s="118"/>
      <c r="M19" s="119"/>
    </row>
    <row r="20" spans="1:13" ht="99.65" customHeight="1" thickBot="1">
      <c r="A20" s="14" t="s">
        <v>150</v>
      </c>
      <c r="B20" s="18" t="s">
        <v>151</v>
      </c>
      <c r="C20" s="18" t="s">
        <v>142</v>
      </c>
      <c r="D20" s="18" t="s">
        <v>152</v>
      </c>
      <c r="E20" s="18">
        <v>2022</v>
      </c>
      <c r="F20" s="117" t="s">
        <v>174</v>
      </c>
      <c r="G20" s="118"/>
      <c r="H20" s="118"/>
      <c r="I20" s="118"/>
      <c r="J20" s="118"/>
      <c r="K20" s="118"/>
      <c r="L20" s="118"/>
      <c r="M20" s="119"/>
    </row>
  </sheetData>
  <mergeCells count="15">
    <mergeCell ref="A8:M8"/>
    <mergeCell ref="F9:M9"/>
    <mergeCell ref="F10:M10"/>
    <mergeCell ref="A3:B3"/>
    <mergeCell ref="F3:J3"/>
    <mergeCell ref="F11:M11"/>
    <mergeCell ref="F12:M12"/>
    <mergeCell ref="F13:M13"/>
    <mergeCell ref="F14:M14"/>
    <mergeCell ref="F15:M15"/>
    <mergeCell ref="F16:M16"/>
    <mergeCell ref="F17:M17"/>
    <mergeCell ref="F18:M18"/>
    <mergeCell ref="F19:M19"/>
    <mergeCell ref="F20:M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8"/>
  <sheetViews>
    <sheetView tabSelected="1" topLeftCell="G7" zoomScale="70" zoomScaleNormal="70" workbookViewId="0">
      <selection activeCell="Y14" sqref="Y14"/>
    </sheetView>
  </sheetViews>
  <sheetFormatPr defaultRowHeight="14.5"/>
  <cols>
    <col min="1" max="1" width="37.81640625" customWidth="1"/>
    <col min="2" max="2" width="17.81640625" customWidth="1"/>
    <col min="3" max="3" width="16.81640625" customWidth="1"/>
    <col min="4" max="5" width="11.453125" customWidth="1"/>
    <col min="6" max="6" width="10.54296875" customWidth="1"/>
    <col min="7" max="7" width="10.81640625" customWidth="1"/>
    <col min="8" max="8" width="10.453125" customWidth="1"/>
    <col min="9" max="9" width="18.54296875" customWidth="1"/>
    <col min="11" max="11" width="22.453125" customWidth="1"/>
    <col min="21" max="21" width="13.7265625" customWidth="1"/>
  </cols>
  <sheetData>
    <row r="1" spans="1:22" ht="47.25" customHeight="1">
      <c r="A1" s="28" t="s">
        <v>2</v>
      </c>
      <c r="B1" s="28" t="s">
        <v>3</v>
      </c>
      <c r="C1" s="28" t="s">
        <v>9</v>
      </c>
      <c r="D1" s="28" t="s">
        <v>10</v>
      </c>
      <c r="E1" s="28" t="s">
        <v>11</v>
      </c>
      <c r="F1" s="28" t="s">
        <v>12</v>
      </c>
      <c r="G1" s="28" t="s">
        <v>13</v>
      </c>
      <c r="H1" s="28" t="s">
        <v>14</v>
      </c>
      <c r="I1" s="28" t="s">
        <v>15</v>
      </c>
      <c r="J1" s="28" t="s">
        <v>16</v>
      </c>
      <c r="K1" s="1"/>
      <c r="L1" s="1"/>
      <c r="M1" s="1"/>
      <c r="N1" s="1"/>
    </row>
    <row r="2" spans="1:22" ht="77.5" customHeight="1">
      <c r="A2" s="29" t="s">
        <v>140</v>
      </c>
      <c r="B2" s="29" t="s">
        <v>142</v>
      </c>
      <c r="C2" s="30" t="s">
        <v>145</v>
      </c>
      <c r="D2" s="30">
        <v>2022</v>
      </c>
      <c r="E2" s="30">
        <v>1</v>
      </c>
      <c r="F2" s="31" t="s">
        <v>141</v>
      </c>
      <c r="G2" s="30">
        <v>136</v>
      </c>
      <c r="H2" s="30">
        <v>725</v>
      </c>
      <c r="I2" s="32" t="s">
        <v>176</v>
      </c>
      <c r="J2" s="27" t="s">
        <v>192</v>
      </c>
    </row>
    <row r="3" spans="1:22" ht="77.5" customHeight="1">
      <c r="A3" s="29" t="s">
        <v>139</v>
      </c>
      <c r="B3" s="29" t="s">
        <v>142</v>
      </c>
      <c r="C3" s="30" t="s">
        <v>156</v>
      </c>
      <c r="D3" s="30">
        <v>2021</v>
      </c>
      <c r="E3" s="30">
        <v>1</v>
      </c>
      <c r="F3" s="31" t="s">
        <v>141</v>
      </c>
      <c r="G3" s="30">
        <v>171</v>
      </c>
      <c r="H3" s="30">
        <v>864</v>
      </c>
      <c r="I3" s="32" t="s">
        <v>177</v>
      </c>
      <c r="J3" s="27" t="s">
        <v>193</v>
      </c>
    </row>
    <row r="4" spans="1:22" ht="77.5" customHeight="1">
      <c r="A4" s="6" t="s">
        <v>129</v>
      </c>
      <c r="B4" s="31" t="s">
        <v>136</v>
      </c>
      <c r="C4" s="30" t="s">
        <v>145</v>
      </c>
      <c r="D4" s="30">
        <v>2001</v>
      </c>
      <c r="E4" s="30">
        <v>34</v>
      </c>
      <c r="F4" s="30">
        <v>2</v>
      </c>
      <c r="G4" s="30">
        <v>27</v>
      </c>
      <c r="H4" s="30">
        <v>175</v>
      </c>
      <c r="I4" s="33" t="s">
        <v>157</v>
      </c>
      <c r="J4" s="27" t="s">
        <v>195</v>
      </c>
    </row>
    <row r="5" spans="1:22" ht="77.5" customHeight="1">
      <c r="A5" s="27" t="s">
        <v>151</v>
      </c>
      <c r="B5" s="35" t="s">
        <v>253</v>
      </c>
      <c r="C5" s="30" t="s">
        <v>153</v>
      </c>
      <c r="D5" s="30">
        <v>2008</v>
      </c>
      <c r="E5" s="30">
        <v>28</v>
      </c>
      <c r="F5" s="30">
        <v>2</v>
      </c>
      <c r="G5" s="30">
        <v>79</v>
      </c>
      <c r="H5" s="30">
        <v>200</v>
      </c>
      <c r="I5" s="34" t="s">
        <v>178</v>
      </c>
      <c r="J5" s="27" t="s">
        <v>194</v>
      </c>
    </row>
    <row r="6" spans="1:22" ht="77.5" customHeight="1">
      <c r="A6" s="29" t="s">
        <v>148</v>
      </c>
      <c r="B6" s="31" t="s">
        <v>142</v>
      </c>
      <c r="C6" s="30" t="s">
        <v>155</v>
      </c>
      <c r="D6" s="30">
        <v>2020</v>
      </c>
      <c r="E6" s="30">
        <v>1</v>
      </c>
      <c r="F6" s="31" t="s">
        <v>141</v>
      </c>
      <c r="G6" s="30">
        <v>46</v>
      </c>
      <c r="H6" s="30">
        <v>326</v>
      </c>
      <c r="I6" s="32" t="s">
        <v>179</v>
      </c>
      <c r="J6" s="27" t="s">
        <v>191</v>
      </c>
    </row>
    <row r="7" spans="1:22" ht="77.5" customHeight="1">
      <c r="A7" s="35" t="s">
        <v>138</v>
      </c>
      <c r="B7" s="31" t="s">
        <v>142</v>
      </c>
      <c r="C7" s="7" t="s">
        <v>154</v>
      </c>
      <c r="D7" s="30">
        <v>2020</v>
      </c>
      <c r="E7" s="30">
        <v>1</v>
      </c>
      <c r="F7" s="31" t="s">
        <v>141</v>
      </c>
      <c r="G7" s="30">
        <v>11</v>
      </c>
      <c r="H7" s="30">
        <v>126</v>
      </c>
      <c r="I7" s="32" t="s">
        <v>180</v>
      </c>
      <c r="J7" s="27" t="s">
        <v>190</v>
      </c>
    </row>
    <row r="9" spans="1:22" ht="120" customHeight="1">
      <c r="B9" s="55" t="s">
        <v>129</v>
      </c>
      <c r="C9" s="55">
        <v>4</v>
      </c>
    </row>
    <row r="10" spans="1:22" ht="72.5">
      <c r="A10" s="23"/>
      <c r="B10" s="55" t="s">
        <v>151</v>
      </c>
      <c r="C10" s="55">
        <v>1</v>
      </c>
      <c r="D10" s="23"/>
      <c r="E10" s="23"/>
      <c r="F10" s="23"/>
      <c r="G10" s="23"/>
      <c r="H10" s="23"/>
      <c r="I10" s="23"/>
      <c r="J10" s="23"/>
    </row>
    <row r="11" spans="1:22" ht="15.5">
      <c r="A11" s="23"/>
      <c r="B11" s="23"/>
      <c r="C11" s="23"/>
      <c r="D11" s="23"/>
      <c r="E11" s="23"/>
      <c r="F11" s="23"/>
      <c r="G11" s="23"/>
      <c r="H11" s="23"/>
      <c r="I11" s="23"/>
      <c r="J11" s="23"/>
      <c r="U11" s="65" t="s">
        <v>137</v>
      </c>
      <c r="V11" s="65">
        <f>10</f>
        <v>10</v>
      </c>
    </row>
    <row r="12" spans="1:22" ht="15.5">
      <c r="A12" s="23"/>
      <c r="B12" s="23"/>
      <c r="C12" s="23"/>
      <c r="D12" s="23"/>
      <c r="E12" s="23"/>
      <c r="F12" s="23"/>
      <c r="G12" s="23"/>
      <c r="H12" s="23"/>
      <c r="I12" s="23"/>
      <c r="J12" s="23"/>
      <c r="U12" s="65" t="s">
        <v>207</v>
      </c>
      <c r="V12" s="65">
        <v>0</v>
      </c>
    </row>
    <row r="13" spans="1:22" ht="15.5">
      <c r="U13" s="65" t="s">
        <v>200</v>
      </c>
      <c r="V13" s="65">
        <v>1</v>
      </c>
    </row>
    <row r="14" spans="1:22" ht="15.5">
      <c r="U14" s="116" t="s">
        <v>199</v>
      </c>
      <c r="V14" s="71">
        <v>0</v>
      </c>
    </row>
    <row r="15" spans="1:22">
      <c r="B15" s="56"/>
      <c r="C15" s="56" t="s">
        <v>223</v>
      </c>
      <c r="D15" s="56"/>
    </row>
    <row r="16" spans="1:22">
      <c r="B16" s="56">
        <v>2004</v>
      </c>
      <c r="C16" s="56">
        <v>64</v>
      </c>
      <c r="D16" s="56">
        <v>0</v>
      </c>
    </row>
    <row r="17" spans="2:4">
      <c r="B17" s="56">
        <v>2005</v>
      </c>
      <c r="C17" s="56">
        <v>58</v>
      </c>
      <c r="D17" s="56">
        <v>0</v>
      </c>
    </row>
    <row r="18" spans="2:4">
      <c r="B18" s="56">
        <v>2006</v>
      </c>
      <c r="C18" s="56">
        <v>57</v>
      </c>
      <c r="D18" s="56">
        <v>0</v>
      </c>
    </row>
    <row r="19" spans="2:4">
      <c r="B19" s="56">
        <v>2007</v>
      </c>
      <c r="C19" s="56">
        <v>59</v>
      </c>
      <c r="D19" s="56">
        <v>0</v>
      </c>
    </row>
    <row r="20" spans="2:4">
      <c r="B20" s="56">
        <v>2008</v>
      </c>
      <c r="C20" s="56">
        <v>58</v>
      </c>
      <c r="D20" s="56">
        <v>1</v>
      </c>
    </row>
    <row r="21" spans="2:4">
      <c r="B21" s="56">
        <v>2009</v>
      </c>
      <c r="C21" s="56">
        <v>50</v>
      </c>
      <c r="D21" s="56">
        <v>1</v>
      </c>
    </row>
    <row r="22" spans="2:4">
      <c r="B22" s="56">
        <v>2010</v>
      </c>
      <c r="C22" s="56">
        <v>50</v>
      </c>
      <c r="D22" s="56">
        <v>1</v>
      </c>
    </row>
    <row r="23" spans="2:4">
      <c r="B23" s="56">
        <v>2011</v>
      </c>
      <c r="C23" s="56">
        <v>54</v>
      </c>
      <c r="D23" s="56">
        <v>1</v>
      </c>
    </row>
    <row r="24" spans="2:4">
      <c r="B24" s="56">
        <v>2012</v>
      </c>
      <c r="C24" s="56">
        <v>53</v>
      </c>
      <c r="D24" s="56">
        <v>2</v>
      </c>
    </row>
    <row r="25" spans="2:4">
      <c r="B25" s="56">
        <v>2013</v>
      </c>
      <c r="C25" s="56">
        <v>48</v>
      </c>
      <c r="D25" s="56">
        <v>1</v>
      </c>
    </row>
    <row r="26" spans="2:4">
      <c r="B26" s="56">
        <v>2014</v>
      </c>
      <c r="C26" s="56">
        <v>36</v>
      </c>
      <c r="D26" s="56">
        <v>2</v>
      </c>
    </row>
    <row r="27" spans="2:4">
      <c r="B27" s="56">
        <v>2015</v>
      </c>
      <c r="C27" s="56">
        <v>39</v>
      </c>
      <c r="D27" s="56">
        <v>0</v>
      </c>
    </row>
    <row r="28" spans="2:4">
      <c r="B28" s="56">
        <v>2016</v>
      </c>
      <c r="C28" s="56">
        <v>35</v>
      </c>
      <c r="D28" s="56">
        <v>0</v>
      </c>
    </row>
    <row r="29" spans="2:4">
      <c r="B29" s="56">
        <v>2017</v>
      </c>
      <c r="C29" s="56">
        <v>32</v>
      </c>
      <c r="D29" s="56">
        <v>2</v>
      </c>
    </row>
    <row r="30" spans="2:4">
      <c r="B30" s="56">
        <v>2018</v>
      </c>
      <c r="C30" s="56">
        <v>28</v>
      </c>
      <c r="D30" s="56">
        <v>3</v>
      </c>
    </row>
    <row r="31" spans="2:4">
      <c r="B31" s="56">
        <v>2019</v>
      </c>
      <c r="C31" s="56">
        <v>0</v>
      </c>
      <c r="D31" s="56">
        <v>1</v>
      </c>
    </row>
    <row r="32" spans="2:4">
      <c r="B32" s="56">
        <v>2020</v>
      </c>
      <c r="C32" s="56">
        <v>12</v>
      </c>
      <c r="D32" s="56">
        <v>3</v>
      </c>
    </row>
    <row r="33" spans="2:4">
      <c r="B33" s="56">
        <v>2021</v>
      </c>
      <c r="C33" s="56">
        <v>0</v>
      </c>
      <c r="D33" s="56">
        <v>6</v>
      </c>
    </row>
    <row r="34" spans="2:4">
      <c r="B34" s="56">
        <v>2022</v>
      </c>
      <c r="C34" s="56">
        <v>0</v>
      </c>
      <c r="D34" s="56">
        <v>55</v>
      </c>
    </row>
    <row r="37" spans="2:4">
      <c r="B37" s="57"/>
      <c r="C37" s="57"/>
    </row>
    <row r="38" spans="2:4">
      <c r="B38" s="58"/>
      <c r="C38" s="58"/>
    </row>
  </sheetData>
  <hyperlinks>
    <hyperlink ref="I4" r:id="rId1"/>
    <hyperlink ref="I2" r:id="rId2"/>
    <hyperlink ref="I3" r:id="rId3"/>
    <hyperlink ref="I5" r:id="rId4"/>
    <hyperlink ref="I6" r:id="rId5"/>
    <hyperlink ref="I7" r:id="rId6"/>
  </hyperlink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topLeftCell="A7" zoomScale="55" zoomScaleNormal="55" workbookViewId="0">
      <selection activeCell="S6" sqref="S6"/>
    </sheetView>
  </sheetViews>
  <sheetFormatPr defaultRowHeight="14.5"/>
  <cols>
    <col min="1" max="1" width="15.453125" customWidth="1"/>
    <col min="2" max="2" width="18" customWidth="1"/>
    <col min="3" max="3" width="13.453125" customWidth="1"/>
    <col min="4" max="4" width="14.453125" customWidth="1"/>
  </cols>
  <sheetData>
    <row r="1" spans="1:6">
      <c r="A1" s="129" t="s">
        <v>17</v>
      </c>
      <c r="B1" s="130"/>
      <c r="C1" s="130"/>
      <c r="D1" s="130"/>
      <c r="E1" s="131"/>
    </row>
    <row r="2" spans="1:6" ht="15" thickBot="1">
      <c r="A2" s="132"/>
      <c r="B2" s="133"/>
      <c r="C2" s="133"/>
      <c r="D2" s="133"/>
      <c r="E2" s="134"/>
    </row>
    <row r="3" spans="1:6" ht="46.5">
      <c r="A3" s="36" t="s">
        <v>18</v>
      </c>
      <c r="B3" s="37" t="s">
        <v>19</v>
      </c>
      <c r="C3" s="37" t="s">
        <v>20</v>
      </c>
      <c r="D3" s="37" t="s">
        <v>21</v>
      </c>
      <c r="E3" s="38" t="s">
        <v>22</v>
      </c>
      <c r="F3" s="1"/>
    </row>
    <row r="4" spans="1:6" ht="155">
      <c r="A4" s="39" t="s">
        <v>146</v>
      </c>
      <c r="B4" s="35" t="s">
        <v>138</v>
      </c>
      <c r="C4" s="31" t="s">
        <v>154</v>
      </c>
      <c r="D4" s="31" t="s">
        <v>158</v>
      </c>
      <c r="E4" s="40">
        <v>2020</v>
      </c>
    </row>
    <row r="5" spans="1:6" ht="155">
      <c r="A5" s="41" t="s">
        <v>147</v>
      </c>
      <c r="B5" s="35" t="s">
        <v>148</v>
      </c>
      <c r="C5" s="31" t="s">
        <v>159</v>
      </c>
      <c r="D5" s="31" t="s">
        <v>158</v>
      </c>
      <c r="E5" s="40">
        <v>2020</v>
      </c>
    </row>
    <row r="6" spans="1:6" ht="201.5">
      <c r="A6" s="39" t="s">
        <v>143</v>
      </c>
      <c r="B6" s="29" t="s">
        <v>140</v>
      </c>
      <c r="C6" s="31" t="s">
        <v>160</v>
      </c>
      <c r="D6" s="31" t="s">
        <v>158</v>
      </c>
      <c r="E6" s="40">
        <v>2022</v>
      </c>
    </row>
    <row r="7" spans="1:6" ht="139.5">
      <c r="A7" s="39" t="s">
        <v>144</v>
      </c>
      <c r="B7" s="29" t="s">
        <v>139</v>
      </c>
      <c r="C7" s="31" t="s">
        <v>145</v>
      </c>
      <c r="D7" s="31" t="s">
        <v>158</v>
      </c>
      <c r="E7" s="40">
        <v>2021</v>
      </c>
    </row>
    <row r="8" spans="1:6" ht="170.5">
      <c r="A8" s="39" t="s">
        <v>161</v>
      </c>
      <c r="B8" s="42" t="s">
        <v>162</v>
      </c>
      <c r="C8" s="31" t="s">
        <v>145</v>
      </c>
      <c r="D8" s="31" t="s">
        <v>158</v>
      </c>
      <c r="E8" s="40">
        <v>2016</v>
      </c>
    </row>
    <row r="9" spans="1:6" ht="124">
      <c r="A9" s="43" t="s">
        <v>181</v>
      </c>
      <c r="B9" s="44" t="s">
        <v>182</v>
      </c>
      <c r="C9" s="45" t="s">
        <v>145</v>
      </c>
      <c r="D9" s="45" t="s">
        <v>158</v>
      </c>
      <c r="E9" s="46">
        <v>2022</v>
      </c>
    </row>
    <row r="10" spans="1:6" ht="155">
      <c r="A10" s="47" t="s">
        <v>183</v>
      </c>
      <c r="B10" s="44" t="s">
        <v>184</v>
      </c>
      <c r="C10" s="45" t="s">
        <v>185</v>
      </c>
      <c r="D10" s="45" t="s">
        <v>158</v>
      </c>
      <c r="E10" s="46">
        <v>2022</v>
      </c>
    </row>
    <row r="11" spans="1:6" ht="109" thickBot="1">
      <c r="A11" s="48" t="s">
        <v>186</v>
      </c>
      <c r="B11" s="49" t="s">
        <v>187</v>
      </c>
      <c r="C11" s="50" t="s">
        <v>188</v>
      </c>
      <c r="D11" s="50" t="s">
        <v>158</v>
      </c>
      <c r="E11" s="51">
        <v>2021</v>
      </c>
    </row>
  </sheetData>
  <mergeCells count="1">
    <mergeCell ref="A1:E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Y26"/>
  <sheetViews>
    <sheetView topLeftCell="CC1" zoomScale="55" zoomScaleNormal="55" workbookViewId="0">
      <selection activeCell="CX21" sqref="CX1:CY21"/>
    </sheetView>
  </sheetViews>
  <sheetFormatPr defaultRowHeight="14.5"/>
  <cols>
    <col min="1" max="1" width="38.54296875" customWidth="1"/>
    <col min="2" max="2" width="20.54296875" customWidth="1"/>
    <col min="3" max="3" width="22.54296875" customWidth="1"/>
    <col min="4" max="4" width="12.1796875" customWidth="1"/>
    <col min="5" max="5" width="11.81640625" customWidth="1"/>
    <col min="6" max="6" width="34.453125" customWidth="1"/>
    <col min="7" max="7" width="95.453125" customWidth="1"/>
    <col min="8" max="8" width="15.453125" customWidth="1"/>
    <col min="9" max="9" width="152.54296875" customWidth="1"/>
    <col min="10" max="10" width="17.453125" customWidth="1"/>
    <col min="11" max="11" width="23.7265625" customWidth="1"/>
    <col min="15" max="15" width="9.54296875" customWidth="1"/>
    <col min="18" max="18" width="9.81640625" customWidth="1"/>
    <col min="28" max="28" width="7.81640625" customWidth="1"/>
    <col min="29" max="29" width="21.453125" customWidth="1"/>
    <col min="44" max="44" width="24.1796875" customWidth="1"/>
    <col min="56" max="60" width="16.453125" customWidth="1"/>
    <col min="76" max="76" width="18.453125" customWidth="1"/>
    <col min="77" max="77" width="19" customWidth="1"/>
    <col min="79" max="79" width="59.26953125" customWidth="1"/>
    <col min="80" max="80" width="12.453125" customWidth="1"/>
    <col min="82" max="82" width="57" customWidth="1"/>
    <col min="85" max="85" width="15.81640625" customWidth="1"/>
    <col min="86" max="87" width="14.54296875" customWidth="1"/>
    <col min="102" max="102" width="43.81640625" customWidth="1"/>
  </cols>
  <sheetData>
    <row r="1" spans="1:103" s="2" customFormat="1" ht="36" customHeight="1">
      <c r="A1" s="52" t="s">
        <v>196</v>
      </c>
      <c r="B1" s="52" t="s">
        <v>197</v>
      </c>
      <c r="C1" s="52" t="s">
        <v>23</v>
      </c>
      <c r="D1" s="52" t="s">
        <v>24</v>
      </c>
      <c r="E1" s="52" t="s">
        <v>5</v>
      </c>
      <c r="F1" s="52" t="s">
        <v>25</v>
      </c>
      <c r="G1" s="52" t="s">
        <v>26</v>
      </c>
      <c r="H1" s="52" t="s">
        <v>27</v>
      </c>
      <c r="I1" s="52" t="s">
        <v>28</v>
      </c>
      <c r="J1" s="52" t="s">
        <v>29</v>
      </c>
      <c r="K1" s="52" t="s">
        <v>99</v>
      </c>
      <c r="L1" s="75" t="s">
        <v>218</v>
      </c>
      <c r="M1" s="75" t="s">
        <v>219</v>
      </c>
      <c r="O1" s="98"/>
      <c r="P1" s="99"/>
      <c r="Q1" s="59" t="s">
        <v>243</v>
      </c>
      <c r="R1" s="59" t="s">
        <v>244</v>
      </c>
      <c r="AC1" s="60" t="s">
        <v>245</v>
      </c>
      <c r="AD1" s="60" t="s">
        <v>246</v>
      </c>
      <c r="AE1" s="84" t="s">
        <v>251</v>
      </c>
      <c r="AR1" s="80" t="s">
        <v>23</v>
      </c>
      <c r="AS1" s="81" t="s">
        <v>246</v>
      </c>
      <c r="BD1" s="75" t="s">
        <v>219</v>
      </c>
      <c r="BE1" s="75" t="s">
        <v>220</v>
      </c>
      <c r="BF1" s="84" t="s">
        <v>222</v>
      </c>
      <c r="BG1" s="75" t="s">
        <v>247</v>
      </c>
      <c r="BH1" s="75" t="s">
        <v>248</v>
      </c>
      <c r="BX1" s="52" t="s">
        <v>249</v>
      </c>
      <c r="BY1" s="52" t="s">
        <v>246</v>
      </c>
      <c r="CA1" s="85" t="s">
        <v>249</v>
      </c>
      <c r="CB1" s="86" t="s">
        <v>251</v>
      </c>
      <c r="CD1" s="75" t="s">
        <v>249</v>
      </c>
      <c r="CE1" s="75" t="s">
        <v>217</v>
      </c>
      <c r="CG1" s="106"/>
      <c r="CH1" s="109" t="s">
        <v>264</v>
      </c>
      <c r="CI1" s="107" t="s">
        <v>265</v>
      </c>
      <c r="CX1" s="52" t="s">
        <v>196</v>
      </c>
      <c r="CY1" s="75" t="s">
        <v>218</v>
      </c>
    </row>
    <row r="2" spans="1:103" ht="60.65" customHeight="1">
      <c r="A2" s="61" t="s">
        <v>235</v>
      </c>
      <c r="B2" s="62" t="s">
        <v>105</v>
      </c>
      <c r="C2" s="63" t="s">
        <v>236</v>
      </c>
      <c r="D2" s="62" t="s">
        <v>89</v>
      </c>
      <c r="E2" s="62">
        <v>2018</v>
      </c>
      <c r="F2" s="64" t="s">
        <v>46</v>
      </c>
      <c r="G2" s="65" t="s">
        <v>37</v>
      </c>
      <c r="H2" s="62" t="s">
        <v>109</v>
      </c>
      <c r="I2" s="30" t="s">
        <v>45</v>
      </c>
      <c r="J2" s="30" t="s">
        <v>33</v>
      </c>
      <c r="K2" s="66" t="s">
        <v>97</v>
      </c>
      <c r="L2" s="35">
        <v>0.217</v>
      </c>
      <c r="M2" s="75">
        <f>AVERAGE(L2:L18)</f>
        <v>0.92117647058823526</v>
      </c>
      <c r="O2" s="98"/>
      <c r="P2" s="100"/>
      <c r="Q2" s="35">
        <v>2018</v>
      </c>
      <c r="R2" s="35">
        <v>7</v>
      </c>
      <c r="AC2" s="104" t="s">
        <v>46</v>
      </c>
      <c r="AD2" s="104">
        <v>2</v>
      </c>
      <c r="AE2" s="105">
        <f>L4</f>
        <v>0.33700000000000002</v>
      </c>
      <c r="AR2" s="15" t="s">
        <v>137</v>
      </c>
      <c r="AS2" s="77">
        <v>17</v>
      </c>
      <c r="BD2" s="75">
        <f>AVERAGE(L2:L18)</f>
        <v>0.92117647058823526</v>
      </c>
      <c r="BE2" s="75">
        <f>AVERAGE(L2:L3,L5:L8,L10,L12:L13,L15)</f>
        <v>0.49139999999999995</v>
      </c>
      <c r="BF2" s="75">
        <v>0.47299999999999998</v>
      </c>
      <c r="BG2" s="31">
        <f>AVERAGE(L2:L18)</f>
        <v>0.92117647058823526</v>
      </c>
      <c r="BH2" s="31">
        <f>AVERAGE(L17:L18)</f>
        <v>3.6425000000000001</v>
      </c>
      <c r="BX2" s="62" t="s">
        <v>102</v>
      </c>
      <c r="BY2" s="30">
        <v>1</v>
      </c>
      <c r="CA2" s="87" t="s">
        <v>235</v>
      </c>
      <c r="CB2" s="88">
        <f>L2</f>
        <v>0.217</v>
      </c>
      <c r="CD2" s="62" t="str">
        <f>A2</f>
        <v>НАУКОЕМКИЕ ТЕХНОЛОГИИ В МАШИНОСТРОЕНИИ</v>
      </c>
      <c r="CE2" s="61">
        <v>1</v>
      </c>
      <c r="CG2" s="110" t="s">
        <v>266</v>
      </c>
      <c r="CH2" s="108">
        <v>1</v>
      </c>
      <c r="CI2" s="108">
        <v>1</v>
      </c>
      <c r="CX2" s="61" t="s">
        <v>235</v>
      </c>
      <c r="CY2" s="35">
        <v>0.217</v>
      </c>
    </row>
    <row r="3" spans="1:103" ht="60.65" customHeight="1">
      <c r="A3" s="61" t="s">
        <v>38</v>
      </c>
      <c r="B3" s="62" t="s">
        <v>110</v>
      </c>
      <c r="C3" s="63" t="s">
        <v>236</v>
      </c>
      <c r="D3" s="62" t="s">
        <v>89</v>
      </c>
      <c r="E3" s="62">
        <v>2018</v>
      </c>
      <c r="F3" s="65" t="s">
        <v>40</v>
      </c>
      <c r="G3" s="65" t="s">
        <v>39</v>
      </c>
      <c r="H3" s="62" t="s">
        <v>106</v>
      </c>
      <c r="I3" s="30" t="s">
        <v>41</v>
      </c>
      <c r="J3" s="30" t="s">
        <v>33</v>
      </c>
      <c r="K3" s="66" t="s">
        <v>96</v>
      </c>
      <c r="L3" s="35">
        <v>0.27600000000000002</v>
      </c>
      <c r="M3" s="3"/>
      <c r="O3" s="3"/>
      <c r="P3" s="3"/>
      <c r="Q3" s="35">
        <v>2019</v>
      </c>
      <c r="R3" s="35">
        <v>4</v>
      </c>
      <c r="AC3" s="61" t="s">
        <v>201</v>
      </c>
      <c r="AD3" s="61">
        <v>1</v>
      </c>
      <c r="AE3" s="61">
        <f t="shared" ref="AE3" si="0">L3</f>
        <v>0.27600000000000002</v>
      </c>
      <c r="AR3" s="78" t="s">
        <v>198</v>
      </c>
      <c r="AS3" s="79">
        <v>14</v>
      </c>
      <c r="BX3" s="62" t="s">
        <v>224</v>
      </c>
      <c r="BY3" s="30">
        <v>1</v>
      </c>
      <c r="CA3" s="87" t="s">
        <v>38</v>
      </c>
      <c r="CB3" s="88">
        <f>L3</f>
        <v>0.27600000000000002</v>
      </c>
      <c r="CD3" s="62" t="str">
        <f>A3</f>
        <v xml:space="preserve">Известия ТулГУ. Технические науки. 2018. Вып. 6 </v>
      </c>
      <c r="CE3" s="61">
        <v>1</v>
      </c>
      <c r="CG3" s="110" t="s">
        <v>270</v>
      </c>
      <c r="CH3" s="108">
        <v>0.3</v>
      </c>
      <c r="CI3" s="108">
        <v>0.11</v>
      </c>
      <c r="CX3" s="61" t="s">
        <v>38</v>
      </c>
      <c r="CY3" s="35">
        <v>0.27600000000000002</v>
      </c>
    </row>
    <row r="4" spans="1:103" ht="60.65" customHeight="1">
      <c r="A4" s="61" t="s">
        <v>47</v>
      </c>
      <c r="B4" s="62" t="s">
        <v>48</v>
      </c>
      <c r="C4" s="63" t="s">
        <v>137</v>
      </c>
      <c r="D4" s="62" t="s">
        <v>89</v>
      </c>
      <c r="E4" s="62">
        <v>2018</v>
      </c>
      <c r="F4" s="64" t="s">
        <v>46</v>
      </c>
      <c r="G4" s="65" t="s">
        <v>49</v>
      </c>
      <c r="H4" s="62" t="s">
        <v>111</v>
      </c>
      <c r="I4" s="67" t="s">
        <v>50</v>
      </c>
      <c r="J4" s="30" t="s">
        <v>33</v>
      </c>
      <c r="K4" s="66" t="s">
        <v>95</v>
      </c>
      <c r="L4" s="35">
        <v>0.33700000000000002</v>
      </c>
      <c r="M4" s="3"/>
      <c r="O4" s="3"/>
      <c r="P4" s="3"/>
      <c r="Q4" s="35">
        <v>2020</v>
      </c>
      <c r="R4" s="35">
        <v>2</v>
      </c>
      <c r="AC4" s="61" t="s">
        <v>255</v>
      </c>
      <c r="AD4" s="61">
        <v>1</v>
      </c>
      <c r="AE4" s="61">
        <f t="shared" ref="AE4:AE17" si="1">L5</f>
        <v>0.371</v>
      </c>
      <c r="AR4" s="78" t="s">
        <v>199</v>
      </c>
      <c r="AS4" s="79">
        <v>1</v>
      </c>
      <c r="BX4" s="62" t="s">
        <v>225</v>
      </c>
      <c r="BY4" s="30">
        <v>1</v>
      </c>
      <c r="CA4" s="87" t="s">
        <v>47</v>
      </c>
      <c r="CB4" s="88">
        <f>L4</f>
        <v>0.33700000000000002</v>
      </c>
      <c r="CD4" s="62" t="str">
        <f>A4</f>
        <v>Вестник Брянского государственного технического университета</v>
      </c>
      <c r="CE4" s="61">
        <v>1</v>
      </c>
      <c r="CG4" s="110" t="s">
        <v>267</v>
      </c>
      <c r="CH4" s="108">
        <v>0.3</v>
      </c>
      <c r="CI4" s="108">
        <v>0.82</v>
      </c>
      <c r="CX4" s="61" t="s">
        <v>47</v>
      </c>
      <c r="CY4" s="35">
        <v>0.33700000000000002</v>
      </c>
    </row>
    <row r="5" spans="1:103" ht="60.65" customHeight="1">
      <c r="A5" s="62" t="s">
        <v>63</v>
      </c>
      <c r="B5" s="62" t="s">
        <v>64</v>
      </c>
      <c r="C5" s="63" t="s">
        <v>236</v>
      </c>
      <c r="D5" s="62" t="s">
        <v>89</v>
      </c>
      <c r="E5" s="62">
        <v>2018</v>
      </c>
      <c r="F5" s="64" t="s">
        <v>61</v>
      </c>
      <c r="G5" s="65" t="s">
        <v>60</v>
      </c>
      <c r="H5" s="62" t="s">
        <v>209</v>
      </c>
      <c r="I5" s="30" t="s">
        <v>62</v>
      </c>
      <c r="J5" s="30" t="s">
        <v>33</v>
      </c>
      <c r="K5" s="66" t="s">
        <v>90</v>
      </c>
      <c r="L5" s="35">
        <v>0.371</v>
      </c>
      <c r="M5" s="3"/>
      <c r="O5" s="3"/>
      <c r="P5" s="3"/>
      <c r="Q5" s="35">
        <v>2021</v>
      </c>
      <c r="R5" s="35">
        <v>2</v>
      </c>
      <c r="AC5" s="61" t="s">
        <v>205</v>
      </c>
      <c r="AD5" s="61">
        <v>1</v>
      </c>
      <c r="AE5" s="61">
        <f t="shared" si="1"/>
        <v>0.41</v>
      </c>
      <c r="AR5" s="82" t="s">
        <v>200</v>
      </c>
      <c r="AS5" s="83">
        <v>2</v>
      </c>
      <c r="BX5" s="147" t="s">
        <v>250</v>
      </c>
      <c r="BY5" s="148">
        <f>MAX(BY2:BY4)</f>
        <v>1</v>
      </c>
      <c r="CA5" s="88" t="s">
        <v>63</v>
      </c>
      <c r="CB5" s="88">
        <f>L5</f>
        <v>0.371</v>
      </c>
      <c r="CD5" s="62" t="str">
        <f>A5</f>
        <v>ЭСиК</v>
      </c>
      <c r="CE5" s="61">
        <v>1</v>
      </c>
      <c r="CG5" s="111" t="s">
        <v>271</v>
      </c>
      <c r="CH5" s="108">
        <v>0.1</v>
      </c>
      <c r="CI5" s="108">
        <v>0</v>
      </c>
      <c r="CX5" s="62" t="s">
        <v>63</v>
      </c>
      <c r="CY5" s="35">
        <v>0.371</v>
      </c>
    </row>
    <row r="6" spans="1:103" ht="60.65" customHeight="1">
      <c r="A6" s="62" t="s">
        <v>70</v>
      </c>
      <c r="B6" s="62" t="s">
        <v>71</v>
      </c>
      <c r="C6" s="63" t="s">
        <v>236</v>
      </c>
      <c r="D6" s="62" t="s">
        <v>89</v>
      </c>
      <c r="E6" s="62">
        <v>2018</v>
      </c>
      <c r="F6" s="64" t="s">
        <v>72</v>
      </c>
      <c r="G6" s="65" t="s">
        <v>73</v>
      </c>
      <c r="H6" s="62" t="s">
        <v>210</v>
      </c>
      <c r="I6" s="30" t="s">
        <v>74</v>
      </c>
      <c r="J6" s="30" t="s">
        <v>33</v>
      </c>
      <c r="K6" s="68" t="s">
        <v>238</v>
      </c>
      <c r="L6" s="35">
        <v>0.41</v>
      </c>
      <c r="M6" s="3"/>
      <c r="O6" s="3"/>
      <c r="P6" s="3"/>
      <c r="Q6" s="29">
        <v>2022</v>
      </c>
      <c r="R6" s="29">
        <v>2</v>
      </c>
      <c r="AC6" s="61" t="s">
        <v>256</v>
      </c>
      <c r="AD6" s="61">
        <v>1</v>
      </c>
      <c r="AE6" s="61">
        <f t="shared" si="1"/>
        <v>0.28299999999999997</v>
      </c>
      <c r="AR6" s="54"/>
      <c r="AS6" s="54"/>
      <c r="AT6" s="54"/>
      <c r="AU6" s="54"/>
      <c r="AV6" s="54"/>
      <c r="CA6" s="88" t="s">
        <v>70</v>
      </c>
      <c r="CB6" s="88">
        <f>L6</f>
        <v>0.41</v>
      </c>
      <c r="CD6" s="62" t="str">
        <f>A6</f>
        <v>Инженерный вестник Дона</v>
      </c>
      <c r="CE6" s="61">
        <v>1</v>
      </c>
      <c r="CG6" s="111" t="s">
        <v>268</v>
      </c>
      <c r="CH6" s="108">
        <v>0.05</v>
      </c>
      <c r="CI6" s="108">
        <v>0</v>
      </c>
      <c r="CX6" s="62" t="s">
        <v>70</v>
      </c>
      <c r="CY6" s="35">
        <v>0.41</v>
      </c>
    </row>
    <row r="7" spans="1:103" ht="60.65" customHeight="1">
      <c r="A7" s="62" t="s">
        <v>83</v>
      </c>
      <c r="B7" s="62" t="s">
        <v>82</v>
      </c>
      <c r="C7" s="63" t="s">
        <v>236</v>
      </c>
      <c r="D7" s="62" t="s">
        <v>89</v>
      </c>
      <c r="E7" s="62">
        <v>2018</v>
      </c>
      <c r="F7" s="64" t="s">
        <v>80</v>
      </c>
      <c r="G7" s="65" t="s">
        <v>79</v>
      </c>
      <c r="H7" s="62" t="s">
        <v>211</v>
      </c>
      <c r="I7" s="30" t="s">
        <v>81</v>
      </c>
      <c r="J7" s="30" t="s">
        <v>33</v>
      </c>
      <c r="K7" s="66" t="s">
        <v>84</v>
      </c>
      <c r="L7" s="35">
        <v>0.28299999999999997</v>
      </c>
      <c r="M7" s="3"/>
      <c r="O7" s="3"/>
      <c r="P7" s="3"/>
      <c r="AC7" s="61" t="s">
        <v>257</v>
      </c>
      <c r="AD7" s="61">
        <v>1</v>
      </c>
      <c r="AE7" s="61">
        <f t="shared" si="1"/>
        <v>0.42899999999999999</v>
      </c>
      <c r="AR7" s="54"/>
      <c r="AS7" s="54"/>
      <c r="AT7" s="54"/>
      <c r="AU7" s="54"/>
      <c r="AV7" s="54"/>
      <c r="CA7" s="88" t="s">
        <v>86</v>
      </c>
      <c r="CB7" s="88">
        <f>L8</f>
        <v>0.42899999999999999</v>
      </c>
      <c r="CD7" s="62" t="str">
        <f>A8</f>
        <v>Системы управления, связи и безопасности</v>
      </c>
      <c r="CE7" s="61">
        <v>1</v>
      </c>
      <c r="CG7" s="111" t="s">
        <v>269</v>
      </c>
      <c r="CH7" s="108">
        <v>0.6</v>
      </c>
      <c r="CI7" s="108">
        <v>0.59</v>
      </c>
      <c r="CX7" s="62" t="s">
        <v>83</v>
      </c>
      <c r="CY7" s="35">
        <v>0.28299999999999997</v>
      </c>
    </row>
    <row r="8" spans="1:103" ht="60.65" customHeight="1">
      <c r="A8" s="62" t="s">
        <v>86</v>
      </c>
      <c r="B8" s="62" t="s">
        <v>71</v>
      </c>
      <c r="C8" s="63" t="s">
        <v>236</v>
      </c>
      <c r="D8" s="62" t="s">
        <v>89</v>
      </c>
      <c r="E8" s="62">
        <v>2018</v>
      </c>
      <c r="F8" s="64" t="s">
        <v>87</v>
      </c>
      <c r="G8" s="65" t="s">
        <v>85</v>
      </c>
      <c r="H8" s="62" t="s">
        <v>212</v>
      </c>
      <c r="I8" s="30" t="s">
        <v>88</v>
      </c>
      <c r="J8" s="30" t="s">
        <v>33</v>
      </c>
      <c r="K8" s="66" t="s">
        <v>237</v>
      </c>
      <c r="L8" s="35">
        <v>0.42899999999999999</v>
      </c>
      <c r="M8" s="3"/>
      <c r="O8" s="3"/>
      <c r="P8" s="3"/>
      <c r="AC8" s="61" t="s">
        <v>43</v>
      </c>
      <c r="AD8" s="61">
        <v>1</v>
      </c>
      <c r="AE8" s="61">
        <f t="shared" si="1"/>
        <v>0.252</v>
      </c>
      <c r="AR8" s="54"/>
      <c r="AS8" s="54"/>
      <c r="AT8" s="54"/>
      <c r="AU8" s="54"/>
      <c r="AV8" s="54"/>
      <c r="AW8" s="138" t="s">
        <v>215</v>
      </c>
      <c r="AX8" s="139"/>
      <c r="AY8" s="139"/>
      <c r="AZ8" s="139"/>
      <c r="BA8" s="139"/>
      <c r="BB8" s="139"/>
      <c r="BC8" s="139"/>
      <c r="BD8" s="139"/>
      <c r="BE8" s="140"/>
      <c r="CA8" s="88" t="s">
        <v>115</v>
      </c>
      <c r="CB8" s="88">
        <f>L10</f>
        <v>0.42899999999999999</v>
      </c>
      <c r="CD8" s="62" t="str">
        <f>A10</f>
        <v>Вестник МГТУ «Станкин»</v>
      </c>
      <c r="CE8" s="61">
        <v>1</v>
      </c>
      <c r="CX8" s="62" t="s">
        <v>86</v>
      </c>
      <c r="CY8" s="35">
        <v>0.42899999999999999</v>
      </c>
    </row>
    <row r="9" spans="1:103" ht="60.65" customHeight="1">
      <c r="A9" s="62" t="s">
        <v>102</v>
      </c>
      <c r="B9" s="62" t="s">
        <v>101</v>
      </c>
      <c r="C9" s="63" t="s">
        <v>137</v>
      </c>
      <c r="D9" s="62" t="s">
        <v>89</v>
      </c>
      <c r="E9" s="62">
        <v>2019</v>
      </c>
      <c r="F9" s="64" t="s">
        <v>43</v>
      </c>
      <c r="G9" s="65" t="s">
        <v>31</v>
      </c>
      <c r="H9" s="62" t="s">
        <v>108</v>
      </c>
      <c r="I9" s="30" t="s">
        <v>42</v>
      </c>
      <c r="J9" s="30" t="s">
        <v>33</v>
      </c>
      <c r="K9" s="66" t="s">
        <v>92</v>
      </c>
      <c r="L9" s="35">
        <v>0.252</v>
      </c>
      <c r="M9" s="3"/>
      <c r="O9" s="3"/>
      <c r="P9" s="3"/>
      <c r="AC9" s="61" t="s">
        <v>203</v>
      </c>
      <c r="AD9" s="61">
        <v>1</v>
      </c>
      <c r="AE9" s="61">
        <f t="shared" si="1"/>
        <v>0.42899999999999999</v>
      </c>
      <c r="AG9" s="135" t="s">
        <v>208</v>
      </c>
      <c r="AH9" s="136"/>
      <c r="AI9" s="136"/>
      <c r="AJ9" s="136"/>
      <c r="AK9" s="136"/>
      <c r="AL9" s="136"/>
      <c r="AM9" s="136"/>
      <c r="AN9" s="137"/>
      <c r="AR9" s="54"/>
      <c r="AS9" s="54"/>
      <c r="AT9" s="54"/>
      <c r="AU9" s="54"/>
      <c r="AV9" s="54"/>
      <c r="AW9" s="141" t="s">
        <v>216</v>
      </c>
      <c r="AX9" s="142"/>
      <c r="AY9" s="142"/>
      <c r="AZ9" s="142"/>
      <c r="BA9" s="142"/>
      <c r="BB9" s="142"/>
      <c r="BC9" s="142"/>
      <c r="BD9" s="142"/>
      <c r="BE9" s="143"/>
      <c r="CA9" s="88" t="s">
        <v>65</v>
      </c>
      <c r="CB9" s="88">
        <f>L11</f>
        <v>0.56999999999999995</v>
      </c>
      <c r="CD9" s="62" t="str">
        <f>A11</f>
        <v>Наука и техника</v>
      </c>
      <c r="CE9" s="61">
        <v>1</v>
      </c>
      <c r="CX9" s="62" t="s">
        <v>102</v>
      </c>
      <c r="CY9" s="35">
        <v>0.252</v>
      </c>
    </row>
    <row r="10" spans="1:103" ht="60.65" customHeight="1">
      <c r="A10" s="62" t="s">
        <v>115</v>
      </c>
      <c r="B10" s="62" t="s">
        <v>116</v>
      </c>
      <c r="C10" s="63" t="s">
        <v>236</v>
      </c>
      <c r="D10" s="62" t="s">
        <v>89</v>
      </c>
      <c r="E10" s="62">
        <v>2019</v>
      </c>
      <c r="F10" s="64" t="s">
        <v>55</v>
      </c>
      <c r="G10" s="65" t="s">
        <v>54</v>
      </c>
      <c r="H10" s="62" t="s">
        <v>117</v>
      </c>
      <c r="I10" s="30" t="s">
        <v>56</v>
      </c>
      <c r="J10" s="30" t="s">
        <v>33</v>
      </c>
      <c r="K10" s="66" t="s">
        <v>57</v>
      </c>
      <c r="L10" s="35">
        <v>0.42899999999999999</v>
      </c>
      <c r="M10" s="3"/>
      <c r="O10" s="3"/>
      <c r="P10" s="3"/>
      <c r="AC10" s="61" t="s">
        <v>68</v>
      </c>
      <c r="AD10" s="61">
        <v>1</v>
      </c>
      <c r="AE10" s="61">
        <f t="shared" si="1"/>
        <v>0.56999999999999995</v>
      </c>
      <c r="AW10" s="144"/>
      <c r="AX10" s="145"/>
      <c r="AY10" s="145"/>
      <c r="AZ10" s="145"/>
      <c r="BA10" s="145"/>
      <c r="BB10" s="145"/>
      <c r="BC10" s="145"/>
      <c r="BD10" s="145"/>
      <c r="BE10" s="146"/>
      <c r="CA10" s="89" t="s">
        <v>103</v>
      </c>
      <c r="CB10" s="88">
        <f>L13</f>
        <v>0.47399999999999998</v>
      </c>
      <c r="CD10" s="62" t="str">
        <f>A13</f>
        <v>НАУКА И ОБРАЗОВАНИЕ</v>
      </c>
      <c r="CE10" s="61">
        <v>1</v>
      </c>
      <c r="CX10" s="62" t="s">
        <v>115</v>
      </c>
      <c r="CY10" s="35">
        <v>0.42899999999999999</v>
      </c>
    </row>
    <row r="11" spans="1:103" ht="60.65" customHeight="1">
      <c r="A11" s="62" t="s">
        <v>65</v>
      </c>
      <c r="B11" s="62" t="s">
        <v>121</v>
      </c>
      <c r="C11" s="63" t="s">
        <v>199</v>
      </c>
      <c r="D11" s="62" t="s">
        <v>89</v>
      </c>
      <c r="E11" s="62">
        <v>2019</v>
      </c>
      <c r="F11" s="64" t="s">
        <v>68</v>
      </c>
      <c r="G11" s="65" t="s">
        <v>67</v>
      </c>
      <c r="H11" s="62" t="s">
        <v>122</v>
      </c>
      <c r="I11" s="30" t="s">
        <v>69</v>
      </c>
      <c r="J11" s="30" t="s">
        <v>33</v>
      </c>
      <c r="K11" s="66" t="s">
        <v>66</v>
      </c>
      <c r="L11" s="35">
        <v>0.56999999999999995</v>
      </c>
      <c r="M11" s="3"/>
      <c r="O11" s="3"/>
      <c r="P11" s="3"/>
      <c r="AC11" s="61" t="s">
        <v>206</v>
      </c>
      <c r="AD11" s="61">
        <v>1</v>
      </c>
      <c r="AE11" s="61">
        <f t="shared" si="1"/>
        <v>0.47299999999999998</v>
      </c>
      <c r="CA11" s="87" t="s">
        <v>112</v>
      </c>
      <c r="CB11" s="88">
        <f>L14</f>
        <v>0.38500000000000001</v>
      </c>
      <c r="CD11" s="101" t="str">
        <f>A14</f>
        <v>ВЕСТНИК ВОРОНЕЖСКОГО ИНСТИТУТА ВЫСОКИХ ТЕХНОЛОГИЙ</v>
      </c>
      <c r="CE11" s="95">
        <v>2</v>
      </c>
      <c r="CX11" s="62" t="s">
        <v>65</v>
      </c>
      <c r="CY11" s="35">
        <v>0.56999999999999995</v>
      </c>
    </row>
    <row r="12" spans="1:103" ht="60.65" customHeight="1">
      <c r="A12" s="61" t="s">
        <v>239</v>
      </c>
      <c r="B12" s="62" t="s">
        <v>221</v>
      </c>
      <c r="C12" s="63" t="s">
        <v>236</v>
      </c>
      <c r="D12" s="62" t="s">
        <v>89</v>
      </c>
      <c r="E12" s="62">
        <v>2019</v>
      </c>
      <c r="F12" s="64" t="s">
        <v>75</v>
      </c>
      <c r="G12" s="65" t="s">
        <v>76</v>
      </c>
      <c r="H12" s="62" t="s">
        <v>214</v>
      </c>
      <c r="I12" s="30" t="s">
        <v>77</v>
      </c>
      <c r="J12" s="30" t="s">
        <v>33</v>
      </c>
      <c r="K12" s="66" t="s">
        <v>78</v>
      </c>
      <c r="L12" s="35">
        <v>0.47299999999999998</v>
      </c>
      <c r="M12" s="3"/>
      <c r="O12" s="3"/>
      <c r="P12" s="3"/>
      <c r="AC12" s="61" t="s">
        <v>258</v>
      </c>
      <c r="AD12" s="61">
        <v>1</v>
      </c>
      <c r="AE12" s="61">
        <f t="shared" si="1"/>
        <v>0.47399999999999998</v>
      </c>
      <c r="CA12" s="87" t="s">
        <v>100</v>
      </c>
      <c r="CB12" s="88">
        <f>L15</f>
        <v>1.552</v>
      </c>
      <c r="CD12" s="61" t="str">
        <f>A15</f>
        <v>ЭЛЕКТРОТЕХНИЧЕСКИЕ И ИНФОРМАЦИОННЫЕ КОМПЛЕКСЫ И СИСТЕМЫ</v>
      </c>
      <c r="CE12" s="61">
        <v>1</v>
      </c>
      <c r="CX12" s="61" t="s">
        <v>239</v>
      </c>
      <c r="CY12" s="35">
        <v>0.47299999999999998</v>
      </c>
    </row>
    <row r="13" spans="1:103" ht="60.65" customHeight="1">
      <c r="A13" s="69" t="s">
        <v>103</v>
      </c>
      <c r="B13" s="62" t="s">
        <v>104</v>
      </c>
      <c r="C13" s="63" t="s">
        <v>207</v>
      </c>
      <c r="D13" s="62" t="s">
        <v>89</v>
      </c>
      <c r="E13" s="62">
        <v>2020</v>
      </c>
      <c r="F13" s="61" t="s">
        <v>259</v>
      </c>
      <c r="G13" s="65" t="s">
        <v>36</v>
      </c>
      <c r="H13" s="62" t="s">
        <v>213</v>
      </c>
      <c r="I13" s="30" t="s">
        <v>44</v>
      </c>
      <c r="J13" s="30" t="s">
        <v>33</v>
      </c>
      <c r="K13" s="66" t="s">
        <v>98</v>
      </c>
      <c r="L13" s="35">
        <v>0.47399999999999998</v>
      </c>
      <c r="M13" s="3"/>
      <c r="O13" s="3"/>
      <c r="P13" s="3"/>
      <c r="AC13" s="61" t="s">
        <v>204</v>
      </c>
      <c r="AD13" s="61">
        <v>1</v>
      </c>
      <c r="AE13" s="61">
        <f t="shared" si="1"/>
        <v>0.38500000000000001</v>
      </c>
      <c r="CA13" s="90" t="s">
        <v>112</v>
      </c>
      <c r="CB13" s="91">
        <f>L16</f>
        <v>1.917</v>
      </c>
      <c r="CD13" s="97" t="s">
        <v>254</v>
      </c>
      <c r="CE13" s="94">
        <v>2</v>
      </c>
      <c r="CX13" s="69" t="s">
        <v>103</v>
      </c>
      <c r="CY13" s="35">
        <v>0.47399999999999998</v>
      </c>
    </row>
    <row r="14" spans="1:103" ht="60.65" customHeight="1">
      <c r="A14" s="61" t="s">
        <v>112</v>
      </c>
      <c r="B14" s="62" t="s">
        <v>118</v>
      </c>
      <c r="C14" s="63" t="s">
        <v>137</v>
      </c>
      <c r="D14" s="62" t="s">
        <v>89</v>
      </c>
      <c r="E14" s="62">
        <v>2020</v>
      </c>
      <c r="F14" s="64" t="s">
        <v>58</v>
      </c>
      <c r="G14" s="65" t="s">
        <v>91</v>
      </c>
      <c r="H14" s="62" t="s">
        <v>119</v>
      </c>
      <c r="I14" s="27" t="s">
        <v>120</v>
      </c>
      <c r="J14" s="30" t="s">
        <v>33</v>
      </c>
      <c r="K14" s="70" t="s">
        <v>59</v>
      </c>
      <c r="L14" s="35">
        <v>0.38500000000000001</v>
      </c>
      <c r="M14" s="3"/>
      <c r="O14" s="3"/>
      <c r="P14" s="3"/>
      <c r="AC14" s="61" t="s">
        <v>260</v>
      </c>
      <c r="AD14" s="61">
        <v>1</v>
      </c>
      <c r="AE14" s="61">
        <f t="shared" si="1"/>
        <v>1.552</v>
      </c>
      <c r="CA14" s="92" t="s">
        <v>252</v>
      </c>
      <c r="CB14" s="93">
        <f>MAX(CB2:CB13)</f>
        <v>1.917</v>
      </c>
      <c r="CX14" s="61" t="s">
        <v>112</v>
      </c>
      <c r="CY14" s="35">
        <v>0.38500000000000001</v>
      </c>
    </row>
    <row r="15" spans="1:103" ht="60.65" customHeight="1">
      <c r="A15" s="61" t="s">
        <v>100</v>
      </c>
      <c r="B15" s="62" t="s">
        <v>35</v>
      </c>
      <c r="C15" s="63" t="s">
        <v>236</v>
      </c>
      <c r="D15" s="62" t="s">
        <v>89</v>
      </c>
      <c r="E15" s="62">
        <v>2021</v>
      </c>
      <c r="F15" s="64" t="s">
        <v>34</v>
      </c>
      <c r="G15" s="65" t="s">
        <v>30</v>
      </c>
      <c r="H15" s="62" t="s">
        <v>107</v>
      </c>
      <c r="I15" s="30" t="s">
        <v>32</v>
      </c>
      <c r="J15" s="30" t="s">
        <v>33</v>
      </c>
      <c r="K15" s="70" t="s">
        <v>93</v>
      </c>
      <c r="L15" s="35">
        <v>1.552</v>
      </c>
      <c r="M15" s="3"/>
      <c r="O15" s="3"/>
      <c r="P15" s="3"/>
      <c r="AC15" s="61" t="s">
        <v>202</v>
      </c>
      <c r="AD15" s="96">
        <v>1</v>
      </c>
      <c r="AE15" s="61">
        <f t="shared" si="1"/>
        <v>1.917</v>
      </c>
      <c r="CX15" s="61" t="s">
        <v>100</v>
      </c>
      <c r="CY15" s="35">
        <v>1.552</v>
      </c>
    </row>
    <row r="16" spans="1:103" ht="60.65" customHeight="1">
      <c r="A16" s="61" t="s">
        <v>112</v>
      </c>
      <c r="B16" s="62" t="s">
        <v>113</v>
      </c>
      <c r="C16" s="63" t="s">
        <v>137</v>
      </c>
      <c r="D16" s="62" t="s">
        <v>89</v>
      </c>
      <c r="E16" s="62">
        <v>2021</v>
      </c>
      <c r="F16" s="64" t="s">
        <v>52</v>
      </c>
      <c r="G16" s="65" t="s">
        <v>51</v>
      </c>
      <c r="H16" s="62" t="s">
        <v>114</v>
      </c>
      <c r="I16" s="30" t="s">
        <v>53</v>
      </c>
      <c r="J16" s="30" t="s">
        <v>33</v>
      </c>
      <c r="K16" s="70" t="s">
        <v>94</v>
      </c>
      <c r="L16" s="35">
        <v>1.917</v>
      </c>
      <c r="M16" s="3"/>
      <c r="O16" s="3"/>
      <c r="P16" s="3"/>
      <c r="AC16" s="61" t="s">
        <v>261</v>
      </c>
      <c r="AD16" s="96">
        <v>1</v>
      </c>
      <c r="AE16" s="61">
        <f t="shared" si="1"/>
        <v>2.4489999999999998</v>
      </c>
      <c r="CG16" s="54"/>
      <c r="CX16" s="61" t="s">
        <v>112</v>
      </c>
      <c r="CY16" s="35">
        <v>1.917</v>
      </c>
    </row>
    <row r="17" spans="1:103" ht="60.65" customHeight="1">
      <c r="A17" s="63" t="s">
        <v>224</v>
      </c>
      <c r="B17" s="62" t="s">
        <v>226</v>
      </c>
      <c r="C17" s="62" t="s">
        <v>240</v>
      </c>
      <c r="D17" s="62" t="s">
        <v>89</v>
      </c>
      <c r="E17" s="62">
        <v>2022</v>
      </c>
      <c r="F17" s="64" t="s">
        <v>230</v>
      </c>
      <c r="G17" s="65" t="s">
        <v>231</v>
      </c>
      <c r="H17" s="62" t="s">
        <v>234</v>
      </c>
      <c r="I17" s="30" t="s">
        <v>232</v>
      </c>
      <c r="J17" s="30" t="s">
        <v>233</v>
      </c>
      <c r="K17" s="70" t="s">
        <v>241</v>
      </c>
      <c r="L17" s="31">
        <v>2.4489999999999998</v>
      </c>
      <c r="M17" s="3"/>
      <c r="O17" s="3"/>
      <c r="P17" s="3"/>
      <c r="AC17" s="95" t="s">
        <v>262</v>
      </c>
      <c r="AD17" s="95">
        <v>1</v>
      </c>
      <c r="AE17" s="95">
        <f t="shared" si="1"/>
        <v>4.8360000000000003</v>
      </c>
      <c r="CX17" s="63" t="s">
        <v>224</v>
      </c>
      <c r="CY17" s="31">
        <v>2.4489999999999998</v>
      </c>
    </row>
    <row r="18" spans="1:103" ht="60.65" customHeight="1">
      <c r="A18" s="63" t="s">
        <v>225</v>
      </c>
      <c r="B18" s="62" t="s">
        <v>226</v>
      </c>
      <c r="C18" s="62" t="s">
        <v>240</v>
      </c>
      <c r="D18" s="62" t="s">
        <v>89</v>
      </c>
      <c r="E18" s="62">
        <v>2022</v>
      </c>
      <c r="F18" s="71" t="s">
        <v>227</v>
      </c>
      <c r="G18" s="72" t="s">
        <v>228</v>
      </c>
      <c r="H18" s="73" t="s">
        <v>229</v>
      </c>
      <c r="I18" s="30" t="s">
        <v>141</v>
      </c>
      <c r="J18" s="30" t="s">
        <v>233</v>
      </c>
      <c r="K18" s="74" t="s">
        <v>242</v>
      </c>
      <c r="L18" s="76">
        <v>4.8360000000000003</v>
      </c>
      <c r="M18" s="3"/>
      <c r="O18" s="3"/>
      <c r="P18" s="3"/>
      <c r="AC18" s="94" t="s">
        <v>263</v>
      </c>
      <c r="AD18" s="94" t="s">
        <v>141</v>
      </c>
      <c r="AE18" s="94">
        <f>MAX(AE2:AE17)</f>
        <v>4.8360000000000003</v>
      </c>
      <c r="CX18" s="63" t="s">
        <v>225</v>
      </c>
      <c r="CY18" s="76">
        <v>4.8360000000000003</v>
      </c>
    </row>
    <row r="19" spans="1:103" ht="60.65" customHeight="1">
      <c r="C19" s="53"/>
      <c r="D19" s="4"/>
      <c r="F19" s="54"/>
      <c r="G19" s="54"/>
      <c r="AE19" s="54"/>
      <c r="CX19" s="112" t="s">
        <v>272</v>
      </c>
      <c r="CY19" s="113">
        <f>AVERAGE(CY2:CY18)</f>
        <v>0.92117647058823526</v>
      </c>
    </row>
    <row r="20" spans="1:103" ht="60.65" customHeight="1">
      <c r="F20" s="4"/>
      <c r="G20" s="54"/>
      <c r="CX20" s="114" t="s">
        <v>273</v>
      </c>
      <c r="CY20" s="102">
        <f>AVERAGE(CY10:CY11,CY13:CY16)</f>
        <v>0.88783333333333336</v>
      </c>
    </row>
    <row r="21" spans="1:103" ht="60.65" customHeight="1">
      <c r="F21" s="54"/>
      <c r="G21" s="54"/>
      <c r="CX21" s="115" t="s">
        <v>274</v>
      </c>
      <c r="CY21" s="103">
        <f>AVERAGE(CY17:CY18,CY9,CY7)</f>
        <v>1.9550000000000001</v>
      </c>
    </row>
    <row r="22" spans="1:103" ht="60.65" customHeight="1"/>
    <row r="23" spans="1:103" ht="60.65" customHeight="1"/>
    <row r="24" spans="1:103" ht="60.65" customHeight="1"/>
    <row r="25" spans="1:103" ht="60.65" customHeight="1"/>
    <row r="26" spans="1:103" ht="60.65" customHeight="1"/>
  </sheetData>
  <autoFilter ref="A1:K17"/>
  <mergeCells count="3">
    <mergeCell ref="AG9:AN9"/>
    <mergeCell ref="AW8:BE8"/>
    <mergeCell ref="AW9:BE10"/>
  </mergeCells>
  <hyperlinks>
    <hyperlink ref="K10" r:id="rId1"/>
    <hyperlink ref="K14" r:id="rId2"/>
    <hyperlink ref="K11" r:id="rId3"/>
    <hyperlink ref="K12" r:id="rId4"/>
    <hyperlink ref="K8" r:id="rId5"/>
    <hyperlink ref="K2" r:id="rId6"/>
    <hyperlink ref="K6" r:id="rId7"/>
    <hyperlink ref="K5" r:id="rId8"/>
    <hyperlink ref="K9" r:id="rId9"/>
    <hyperlink ref="K15" r:id="rId10"/>
    <hyperlink ref="K16" r:id="rId11"/>
    <hyperlink ref="K4" r:id="rId12"/>
    <hyperlink ref="K3" r:id="rId13"/>
    <hyperlink ref="K13" r:id="rId14"/>
    <hyperlink ref="K7" r:id="rId15"/>
    <hyperlink ref="K18" r:id="rId16"/>
  </hyperlinks>
  <pageMargins left="0.7" right="0.7" top="0.75" bottom="0.75" header="0.3" footer="0.3"/>
  <pageSetup paperSize="9" orientation="portrait" horizontalDpi="300" verticalDpi="300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Инф об авторе и статьях</vt:lpstr>
      <vt:lpstr>инф о журналах</vt:lpstr>
      <vt:lpstr>инф о конференциях</vt:lpstr>
      <vt:lpstr>подбор статей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Lesy</dc:creator>
  <cp:lastModifiedBy>egorchernomorece@gmail.com</cp:lastModifiedBy>
  <dcterms:created xsi:type="dcterms:W3CDTF">2021-10-23T12:02:13Z</dcterms:created>
  <dcterms:modified xsi:type="dcterms:W3CDTF">2024-01-17T10:31:59Z</dcterms:modified>
</cp:coreProperties>
</file>