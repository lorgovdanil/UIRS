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 activeTab="5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25725"/>
</workbook>
</file>

<file path=xl/calcChain.xml><?xml version="1.0" encoding="utf-8"?>
<calcChain xmlns="http://schemas.openxmlformats.org/spreadsheetml/2006/main">
  <c r="C4" i="5"/>
  <c r="D4"/>
  <c r="E4"/>
  <c r="F4"/>
  <c r="G4"/>
  <c r="H4"/>
  <c r="I4"/>
  <c r="J4"/>
  <c r="K4"/>
  <c r="L4"/>
  <c r="M4"/>
  <c r="N4"/>
  <c r="O4"/>
  <c r="P4"/>
  <c r="Q4"/>
  <c r="R4"/>
  <c r="C5"/>
  <c r="D5"/>
  <c r="E5"/>
  <c r="F5"/>
  <c r="G5"/>
  <c r="H5"/>
  <c r="I5"/>
  <c r="J5"/>
  <c r="K5"/>
  <c r="L5"/>
  <c r="M5"/>
  <c r="N5"/>
  <c r="O5"/>
  <c r="P5"/>
  <c r="Q5"/>
  <c r="R5"/>
  <c r="C6"/>
  <c r="D6"/>
  <c r="E6"/>
  <c r="F6"/>
  <c r="G6"/>
  <c r="H6"/>
  <c r="I6"/>
  <c r="J6"/>
  <c r="K6"/>
  <c r="L6"/>
  <c r="M6"/>
  <c r="N6"/>
  <c r="O6"/>
  <c r="P6"/>
  <c r="Q6"/>
  <c r="R6"/>
  <c r="C7"/>
  <c r="D7"/>
  <c r="E7"/>
  <c r="F7"/>
  <c r="G7"/>
  <c r="H7"/>
  <c r="I7"/>
  <c r="J7"/>
  <c r="K7"/>
  <c r="L7"/>
  <c r="M7"/>
  <c r="N7"/>
  <c r="O7"/>
  <c r="P7"/>
  <c r="Q7"/>
  <c r="R7"/>
  <c r="C8"/>
  <c r="D8"/>
  <c r="E8"/>
  <c r="F8"/>
  <c r="G8"/>
  <c r="H8"/>
  <c r="I8"/>
  <c r="J8"/>
  <c r="K8"/>
  <c r="L8"/>
  <c r="M8"/>
  <c r="N8"/>
  <c r="O8"/>
  <c r="P8"/>
  <c r="Q8"/>
  <c r="R8"/>
  <c r="C9"/>
  <c r="D9"/>
  <c r="E9"/>
  <c r="F9"/>
  <c r="G9"/>
  <c r="H9"/>
  <c r="I9"/>
  <c r="J9"/>
  <c r="K9"/>
  <c r="L9"/>
  <c r="M9"/>
  <c r="N9"/>
  <c r="O9"/>
  <c r="P9"/>
  <c r="Q9"/>
  <c r="R9"/>
  <c r="C10"/>
  <c r="D10"/>
  <c r="E10"/>
  <c r="F10"/>
  <c r="G10"/>
  <c r="H10"/>
  <c r="I10"/>
  <c r="J10"/>
  <c r="K10"/>
  <c r="L10"/>
  <c r="M10"/>
  <c r="N10"/>
  <c r="O10"/>
  <c r="P10"/>
  <c r="Q10"/>
  <c r="R10"/>
  <c r="C11"/>
  <c r="D11"/>
  <c r="E11"/>
  <c r="F11"/>
  <c r="G11"/>
  <c r="H11"/>
  <c r="I11"/>
  <c r="J11"/>
  <c r="K11"/>
  <c r="L11"/>
  <c r="M11"/>
  <c r="N11"/>
  <c r="O11"/>
  <c r="P11"/>
  <c r="Q11"/>
  <c r="R11"/>
  <c r="C12"/>
  <c r="D12"/>
  <c r="E12"/>
  <c r="F12"/>
  <c r="G12"/>
  <c r="H12"/>
  <c r="I12"/>
  <c r="J12"/>
  <c r="K12"/>
  <c r="L12"/>
  <c r="M12"/>
  <c r="N12"/>
  <c r="O12"/>
  <c r="P12"/>
  <c r="Q12"/>
  <c r="R12"/>
  <c r="C13"/>
  <c r="D13"/>
  <c r="E13"/>
  <c r="F13"/>
  <c r="G13"/>
  <c r="H13"/>
  <c r="I13"/>
  <c r="J13"/>
  <c r="K13"/>
  <c r="L13"/>
  <c r="M13"/>
  <c r="N13"/>
  <c r="O13"/>
  <c r="P13"/>
  <c r="Q13"/>
  <c r="R13"/>
  <c r="C14"/>
  <c r="D14"/>
  <c r="E14"/>
  <c r="F14"/>
  <c r="G14"/>
  <c r="H14"/>
  <c r="I14"/>
  <c r="J14"/>
  <c r="K14"/>
  <c r="L14"/>
  <c r="M14"/>
  <c r="N14"/>
  <c r="O14"/>
  <c r="P14"/>
  <c r="Q14"/>
  <c r="R14"/>
  <c r="C15"/>
  <c r="D15"/>
  <c r="E15"/>
  <c r="F15"/>
  <c r="G15"/>
  <c r="H15"/>
  <c r="I15"/>
  <c r="J15"/>
  <c r="K15"/>
  <c r="L15"/>
  <c r="M15"/>
  <c r="N15"/>
  <c r="O15"/>
  <c r="P15"/>
  <c r="Q15"/>
  <c r="R15"/>
  <c r="C16"/>
  <c r="D16"/>
  <c r="E16"/>
  <c r="F16"/>
  <c r="G16"/>
  <c r="H16"/>
  <c r="I16"/>
  <c r="J16"/>
  <c r="K16"/>
  <c r="L16"/>
  <c r="M16"/>
  <c r="N16"/>
  <c r="O16"/>
  <c r="P16"/>
  <c r="Q16"/>
  <c r="R16"/>
  <c r="C17"/>
  <c r="D17"/>
  <c r="E17"/>
  <c r="F17"/>
  <c r="G17"/>
  <c r="H17"/>
  <c r="I17"/>
  <c r="J17"/>
  <c r="K17"/>
  <c r="L17"/>
  <c r="M17"/>
  <c r="N17"/>
  <c r="O17"/>
  <c r="P17"/>
  <c r="Q17"/>
  <c r="R17"/>
  <c r="C18"/>
  <c r="D18"/>
  <c r="E18"/>
  <c r="F18"/>
  <c r="G18"/>
  <c r="H18"/>
  <c r="I18"/>
  <c r="J18"/>
  <c r="K18"/>
  <c r="L18"/>
  <c r="M18"/>
  <c r="N18"/>
  <c r="O18"/>
  <c r="P18"/>
  <c r="Q18"/>
  <c r="R18"/>
  <c r="C19"/>
  <c r="D19"/>
  <c r="E19"/>
  <c r="F19"/>
  <c r="G19"/>
  <c r="H19"/>
  <c r="I19"/>
  <c r="J19"/>
  <c r="K19"/>
  <c r="L19"/>
  <c r="M19"/>
  <c r="N19"/>
  <c r="O19"/>
  <c r="P19"/>
  <c r="Q19"/>
  <c r="R19"/>
  <c r="C20"/>
  <c r="D20"/>
  <c r="E20"/>
  <c r="F20"/>
  <c r="G20"/>
  <c r="H20"/>
  <c r="I20"/>
  <c r="J20"/>
  <c r="K20"/>
  <c r="L20"/>
  <c r="M20"/>
  <c r="N20"/>
  <c r="O20"/>
  <c r="P20"/>
  <c r="Q20"/>
  <c r="R20"/>
  <c r="C21"/>
  <c r="D21"/>
  <c r="E21"/>
  <c r="F21"/>
  <c r="G21"/>
  <c r="H21"/>
  <c r="I21"/>
  <c r="J21"/>
  <c r="K21"/>
  <c r="L21"/>
  <c r="M21"/>
  <c r="N21"/>
  <c r="O21"/>
  <c r="P21"/>
  <c r="Q21"/>
  <c r="R21"/>
  <c r="C22"/>
  <c r="D22"/>
  <c r="E22"/>
  <c r="F22"/>
  <c r="G22"/>
  <c r="H22"/>
  <c r="I22"/>
  <c r="J22"/>
  <c r="K22"/>
  <c r="L22"/>
  <c r="M22"/>
  <c r="N22"/>
  <c r="O22"/>
  <c r="P22"/>
  <c r="Q22"/>
  <c r="R22"/>
  <c r="C23"/>
  <c r="D23"/>
  <c r="E23"/>
  <c r="F23"/>
  <c r="G23"/>
  <c r="H23"/>
  <c r="I23"/>
  <c r="J23"/>
  <c r="K23"/>
  <c r="L23"/>
  <c r="M23"/>
  <c r="N23"/>
  <c r="O23"/>
  <c r="P23"/>
  <c r="Q23"/>
  <c r="R23"/>
  <c r="C24"/>
  <c r="D24"/>
  <c r="E24"/>
  <c r="F24"/>
  <c r="G24"/>
  <c r="H24"/>
  <c r="I24"/>
  <c r="J24"/>
  <c r="K24"/>
  <c r="L24"/>
  <c r="M24"/>
  <c r="N24"/>
  <c r="O24"/>
  <c r="P24"/>
  <c r="Q24"/>
  <c r="R24"/>
  <c r="C25"/>
  <c r="D25"/>
  <c r="E25"/>
  <c r="F25"/>
  <c r="G25"/>
  <c r="H25"/>
  <c r="I25"/>
  <c r="J25"/>
  <c r="K25"/>
  <c r="L25"/>
  <c r="M25"/>
  <c r="N25"/>
  <c r="O25"/>
  <c r="P25"/>
  <c r="Q25"/>
  <c r="R25"/>
  <c r="C26"/>
  <c r="D26"/>
  <c r="E26"/>
  <c r="F26"/>
  <c r="G26"/>
  <c r="H26"/>
  <c r="I26"/>
  <c r="J26"/>
  <c r="K26"/>
  <c r="L26"/>
  <c r="M26"/>
  <c r="N26"/>
  <c r="O26"/>
  <c r="P26"/>
  <c r="Q26"/>
  <c r="R26"/>
  <c r="C27"/>
  <c r="D27"/>
  <c r="E27"/>
  <c r="F27"/>
  <c r="G27"/>
  <c r="H27"/>
  <c r="I27"/>
  <c r="J27"/>
  <c r="K27"/>
  <c r="L27"/>
  <c r="M27"/>
  <c r="N27"/>
  <c r="O27"/>
  <c r="P27"/>
  <c r="Q27"/>
  <c r="R27"/>
  <c r="C28"/>
  <c r="D28"/>
  <c r="E28"/>
  <c r="F28"/>
  <c r="G28"/>
  <c r="H28"/>
  <c r="I28"/>
  <c r="J28"/>
  <c r="K28"/>
  <c r="L28"/>
  <c r="M28"/>
  <c r="N28"/>
  <c r="O28"/>
  <c r="P28"/>
  <c r="Q28"/>
  <c r="R28"/>
  <c r="C29"/>
  <c r="D29"/>
  <c r="E29"/>
  <c r="F29"/>
  <c r="G29"/>
  <c r="H29"/>
  <c r="I29"/>
  <c r="J29"/>
  <c r="K29"/>
  <c r="L29"/>
  <c r="M29"/>
  <c r="N29"/>
  <c r="O29"/>
  <c r="P29"/>
  <c r="Q29"/>
  <c r="R29"/>
  <c r="C30"/>
  <c r="D30"/>
  <c r="E30"/>
  <c r="F30"/>
  <c r="G30"/>
  <c r="H30"/>
  <c r="I30"/>
  <c r="J30"/>
  <c r="K30"/>
  <c r="L30"/>
  <c r="M30"/>
  <c r="N30"/>
  <c r="O30"/>
  <c r="P30"/>
  <c r="Q30"/>
  <c r="R30"/>
  <c r="C31"/>
  <c r="D31"/>
  <c r="E31"/>
  <c r="F31"/>
  <c r="G31"/>
  <c r="H31"/>
  <c r="I31"/>
  <c r="J31"/>
  <c r="K31"/>
  <c r="L31"/>
  <c r="M31"/>
  <c r="N31"/>
  <c r="O31"/>
  <c r="P31"/>
  <c r="Q31"/>
  <c r="R31"/>
  <c r="C32"/>
  <c r="D32"/>
  <c r="E32"/>
  <c r="F32"/>
  <c r="G32"/>
  <c r="H32"/>
  <c r="I32"/>
  <c r="J32"/>
  <c r="K32"/>
  <c r="L32"/>
  <c r="M32"/>
  <c r="N32"/>
  <c r="O32"/>
  <c r="P32"/>
  <c r="Q32"/>
  <c r="R32"/>
  <c r="C33"/>
  <c r="D33"/>
  <c r="E33"/>
  <c r="F33"/>
  <c r="G33"/>
  <c r="H33"/>
  <c r="I33"/>
  <c r="J33"/>
  <c r="K33"/>
  <c r="L33"/>
  <c r="M33"/>
  <c r="N33"/>
  <c r="O33"/>
  <c r="P33"/>
  <c r="Q33"/>
  <c r="R33"/>
  <c r="C34"/>
  <c r="D34"/>
  <c r="E34"/>
  <c r="F34"/>
  <c r="G34"/>
  <c r="H34"/>
  <c r="I34"/>
  <c r="J34"/>
  <c r="K34"/>
  <c r="L34"/>
  <c r="M34"/>
  <c r="N34"/>
  <c r="O34"/>
  <c r="P34"/>
  <c r="Q34"/>
  <c r="R34"/>
  <c r="C35"/>
  <c r="D35"/>
  <c r="E35"/>
  <c r="F35"/>
  <c r="G35"/>
  <c r="H35"/>
  <c r="I35"/>
  <c r="J35"/>
  <c r="K35"/>
  <c r="L35"/>
  <c r="M35"/>
  <c r="N35"/>
  <c r="O35"/>
  <c r="P35"/>
  <c r="Q35"/>
  <c r="R35"/>
  <c r="C36"/>
  <c r="D36"/>
  <c r="E36"/>
  <c r="F36"/>
  <c r="G36"/>
  <c r="H36"/>
  <c r="I36"/>
  <c r="J36"/>
  <c r="K36"/>
  <c r="L36"/>
  <c r="M36"/>
  <c r="N36"/>
  <c r="O36"/>
  <c r="P36"/>
  <c r="Q36"/>
  <c r="R36"/>
  <c r="C37"/>
  <c r="D37"/>
  <c r="E37"/>
  <c r="F37"/>
  <c r="G37"/>
  <c r="H37"/>
  <c r="I37"/>
  <c r="J37"/>
  <c r="K37"/>
  <c r="L37"/>
  <c r="M37"/>
  <c r="N37"/>
  <c r="O37"/>
  <c r="P37"/>
  <c r="Q37"/>
  <c r="R37"/>
  <c r="C38"/>
  <c r="D38"/>
  <c r="E38"/>
  <c r="F38"/>
  <c r="G38"/>
  <c r="H38"/>
  <c r="I38"/>
  <c r="J38"/>
  <c r="K38"/>
  <c r="L38"/>
  <c r="M38"/>
  <c r="N38"/>
  <c r="O38"/>
  <c r="P38"/>
  <c r="Q38"/>
  <c r="R38"/>
  <c r="C39"/>
  <c r="D39"/>
  <c r="E39"/>
  <c r="F39"/>
  <c r="G39"/>
  <c r="H39"/>
  <c r="I39"/>
  <c r="J39"/>
  <c r="K39"/>
  <c r="L39"/>
  <c r="M39"/>
  <c r="N39"/>
  <c r="O39"/>
  <c r="P39"/>
  <c r="Q39"/>
  <c r="R39"/>
  <c r="C40"/>
  <c r="D40"/>
  <c r="E40"/>
  <c r="F40"/>
  <c r="G40"/>
  <c r="H40"/>
  <c r="I40"/>
  <c r="J40"/>
  <c r="K40"/>
  <c r="L40"/>
  <c r="M40"/>
  <c r="N40"/>
  <c r="O40"/>
  <c r="P40"/>
  <c r="Q40"/>
  <c r="R40"/>
  <c r="C41"/>
  <c r="D41"/>
  <c r="E41"/>
  <c r="F41"/>
  <c r="G41"/>
  <c r="H41"/>
  <c r="I41"/>
  <c r="J41"/>
  <c r="K41"/>
  <c r="L41"/>
  <c r="M41"/>
  <c r="N41"/>
  <c r="O41"/>
  <c r="P41"/>
  <c r="Q41"/>
  <c r="R41"/>
  <c r="C42"/>
  <c r="D42"/>
  <c r="E42"/>
  <c r="F42"/>
  <c r="G42"/>
  <c r="H42"/>
  <c r="I42"/>
  <c r="J42"/>
  <c r="K42"/>
  <c r="L42"/>
  <c r="M42"/>
  <c r="N42"/>
  <c r="O42"/>
  <c r="P42"/>
  <c r="Q42"/>
  <c r="R42"/>
  <c r="C43"/>
  <c r="D43"/>
  <c r="E43"/>
  <c r="F43"/>
  <c r="G43"/>
  <c r="H43"/>
  <c r="I43"/>
  <c r="J43"/>
  <c r="K43"/>
  <c r="L43"/>
  <c r="M43"/>
  <c r="N43"/>
  <c r="O43"/>
  <c r="P43"/>
  <c r="Q43"/>
  <c r="R43"/>
  <c r="C44"/>
  <c r="D44"/>
  <c r="E44"/>
  <c r="F44"/>
  <c r="G44"/>
  <c r="H44"/>
  <c r="I44"/>
  <c r="J44"/>
  <c r="K44"/>
  <c r="L44"/>
  <c r="M44"/>
  <c r="N44"/>
  <c r="O44"/>
  <c r="P44"/>
  <c r="Q44"/>
  <c r="R44"/>
  <c r="C45"/>
  <c r="D45"/>
  <c r="E45"/>
  <c r="F45"/>
  <c r="G45"/>
  <c r="H45"/>
  <c r="I45"/>
  <c r="J45"/>
  <c r="K45"/>
  <c r="L45"/>
  <c r="M45"/>
  <c r="N45"/>
  <c r="O45"/>
  <c r="P45"/>
  <c r="Q45"/>
  <c r="R45"/>
  <c r="C46"/>
  <c r="D46"/>
  <c r="E46"/>
  <c r="F46"/>
  <c r="G46"/>
  <c r="H46"/>
  <c r="I46"/>
  <c r="J46"/>
  <c r="K46"/>
  <c r="L46"/>
  <c r="M46"/>
  <c r="N46"/>
  <c r="O46"/>
  <c r="P46"/>
  <c r="Q46"/>
  <c r="R46"/>
  <c r="C47"/>
  <c r="D47"/>
  <c r="E47"/>
  <c r="F47"/>
  <c r="G47"/>
  <c r="H47"/>
  <c r="I47"/>
  <c r="J47"/>
  <c r="K47"/>
  <c r="L47"/>
  <c r="M47"/>
  <c r="N47"/>
  <c r="O47"/>
  <c r="P47"/>
  <c r="Q47"/>
  <c r="R47"/>
  <c r="C48"/>
  <c r="D48"/>
  <c r="E48"/>
  <c r="F48"/>
  <c r="G48"/>
  <c r="H48"/>
  <c r="I48"/>
  <c r="J48"/>
  <c r="K48"/>
  <c r="L48"/>
  <c r="M48"/>
  <c r="N48"/>
  <c r="O48"/>
  <c r="P48"/>
  <c r="Q48"/>
  <c r="R48"/>
  <c r="C49"/>
  <c r="D49"/>
  <c r="E49"/>
  <c r="F49"/>
  <c r="G49"/>
  <c r="H49"/>
  <c r="I49"/>
  <c r="J49"/>
  <c r="K49"/>
  <c r="L49"/>
  <c r="M49"/>
  <c r="N49"/>
  <c r="O49"/>
  <c r="P49"/>
  <c r="Q49"/>
  <c r="R49"/>
  <c r="C50"/>
  <c r="D50"/>
  <c r="E50"/>
  <c r="F50"/>
  <c r="G50"/>
  <c r="H50"/>
  <c r="I50"/>
  <c r="J50"/>
  <c r="K50"/>
  <c r="L50"/>
  <c r="M50"/>
  <c r="N50"/>
  <c r="O50"/>
  <c r="P50"/>
  <c r="Q50"/>
  <c r="R50"/>
  <c r="C51"/>
  <c r="D51"/>
  <c r="E51"/>
  <c r="F51"/>
  <c r="G51"/>
  <c r="H51"/>
  <c r="I51"/>
  <c r="J51"/>
  <c r="K51"/>
  <c r="L51"/>
  <c r="M51"/>
  <c r="N51"/>
  <c r="O51"/>
  <c r="P51"/>
  <c r="Q51"/>
  <c r="R51"/>
  <c r="C52"/>
  <c r="D52"/>
  <c r="E52"/>
  <c r="F52"/>
  <c r="G52"/>
  <c r="H52"/>
  <c r="I52"/>
  <c r="J52"/>
  <c r="K52"/>
  <c r="L52"/>
  <c r="M52"/>
  <c r="N52"/>
  <c r="O52"/>
  <c r="P52"/>
  <c r="Q52"/>
  <c r="R52"/>
  <c r="C53"/>
  <c r="D53"/>
  <c r="E53"/>
  <c r="F53"/>
  <c r="G53"/>
  <c r="H53"/>
  <c r="I53"/>
  <c r="J53"/>
  <c r="K53"/>
  <c r="L53"/>
  <c r="M53"/>
  <c r="N53"/>
  <c r="O53"/>
  <c r="P53"/>
  <c r="Q53"/>
  <c r="R53"/>
  <c r="D3"/>
  <c r="E3"/>
  <c r="F3"/>
  <c r="G3"/>
  <c r="H3"/>
  <c r="I3"/>
  <c r="J3"/>
  <c r="K3"/>
  <c r="L3"/>
  <c r="M3"/>
  <c r="N3"/>
  <c r="O3"/>
  <c r="P3"/>
  <c r="Q3"/>
  <c r="R3"/>
  <c r="C3"/>
  <c r="D3" i="4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D2"/>
  <c r="C2"/>
  <c r="B2"/>
  <c r="D3" i="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D2"/>
  <c r="C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2"/>
  <c r="D34" i="1"/>
  <c r="D35"/>
  <c r="D36"/>
  <c r="D37"/>
  <c r="D38"/>
  <c r="D39"/>
  <c r="D40"/>
  <c r="D41"/>
  <c r="D42"/>
  <c r="D33"/>
  <c r="D23"/>
  <c r="D24"/>
  <c r="D25"/>
  <c r="D26"/>
  <c r="D27"/>
  <c r="D28"/>
  <c r="D29"/>
  <c r="D30"/>
  <c r="D31"/>
  <c r="D32"/>
  <c r="D2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23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2"/>
</calcChain>
</file>

<file path=xl/sharedStrings.xml><?xml version="1.0" encoding="utf-8"?>
<sst xmlns="http://schemas.openxmlformats.org/spreadsheetml/2006/main" count="31" uniqueCount="23">
  <si>
    <t>x</t>
  </si>
  <si>
    <t>y</t>
  </si>
  <si>
    <t>g</t>
  </si>
  <si>
    <t>z</t>
  </si>
  <si>
    <t>t</t>
  </si>
  <si>
    <t>Удмуртия</t>
  </si>
  <si>
    <t>год</t>
  </si>
  <si>
    <t>Температура</t>
  </si>
  <si>
    <t>Давление</t>
  </si>
  <si>
    <t>Осадки</t>
  </si>
  <si>
    <t>градус</t>
  </si>
  <si>
    <t>мм рт.ст</t>
  </si>
  <si>
    <t>мм</t>
  </si>
  <si>
    <t>Диаметр лаг, см</t>
  </si>
  <si>
    <t>Затраты в зависимости от ширины проезжей части дороги, тыс. руб.</t>
  </si>
  <si>
    <t>при ширине дороги 3,5 м</t>
  </si>
  <si>
    <t>Число рядов</t>
  </si>
  <si>
    <t>Однорядный</t>
  </si>
  <si>
    <t>Двухрядный</t>
  </si>
  <si>
    <t>Трехрядный</t>
  </si>
  <si>
    <t>При цене на круглый лес хвойных пород (франко-станция отправления)</t>
  </si>
  <si>
    <t>При ценах на круглый лес хвойных пород, отпускаемых на корню</t>
  </si>
  <si>
    <t>добавление на каждые 0,5 м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</si>
</sst>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/>
              <a:t>y = f(x)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1236893660988921E-2"/>
          <c:y val="0.14356559651010309"/>
          <c:w val="0.80539235047815672"/>
          <c:h val="0.768743604548489"/>
        </c:manualLayout>
      </c:layout>
      <c:scatterChart>
        <c:scatterStyle val="smoothMarker"/>
        <c:ser>
          <c:idx val="0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Лист1!$A$2:$A$42</c:f>
              <c:numCache>
                <c:formatCode>General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</c:numCache>
            </c:numRef>
          </c:xVal>
          <c:yVal>
            <c:numRef>
              <c:f>Лист1!$B$2:$B$42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0.19966683329365631</c:v>
                </c:pt>
                <c:pt idx="22">
                  <c:v>0.39733866159012243</c:v>
                </c:pt>
                <c:pt idx="23">
                  <c:v>0.59104041332267909</c:v>
                </c:pt>
                <c:pt idx="24">
                  <c:v>0.77883668461730104</c:v>
                </c:pt>
                <c:pt idx="25">
                  <c:v>0.95885107720840601</c:v>
                </c:pt>
                <c:pt idx="26">
                  <c:v>1.1292849467900707</c:v>
                </c:pt>
                <c:pt idx="27">
                  <c:v>1.288435374475382</c:v>
                </c:pt>
                <c:pt idx="28">
                  <c:v>1.4347121817990456</c:v>
                </c:pt>
                <c:pt idx="29">
                  <c:v>1.5666538192549668</c:v>
                </c:pt>
                <c:pt idx="30">
                  <c:v>1.682941969615793</c:v>
                </c:pt>
                <c:pt idx="31">
                  <c:v>1.7824147201228708</c:v>
                </c:pt>
                <c:pt idx="32">
                  <c:v>1.8640781719344526</c:v>
                </c:pt>
                <c:pt idx="33">
                  <c:v>1.9271163708343859</c:v>
                </c:pt>
                <c:pt idx="34">
                  <c:v>1.9708994599769203</c:v>
                </c:pt>
                <c:pt idx="35">
                  <c:v>1.9949899732081089</c:v>
                </c:pt>
                <c:pt idx="36">
                  <c:v>1.9991472060830102</c:v>
                </c:pt>
                <c:pt idx="37">
                  <c:v>1.9833296209049371</c:v>
                </c:pt>
                <c:pt idx="38">
                  <c:v>1.9476952617563903</c:v>
                </c:pt>
                <c:pt idx="39">
                  <c:v>1.8926001753748289</c:v>
                </c:pt>
                <c:pt idx="40">
                  <c:v>1.8185948536513634</c:v>
                </c:pt>
              </c:numCache>
            </c:numRef>
          </c:yVal>
          <c:smooth val="1"/>
        </c:ser>
        <c:axId val="66741760"/>
        <c:axId val="66740224"/>
      </c:scatterChart>
      <c:valAx>
        <c:axId val="66741760"/>
        <c:scaling>
          <c:orientation val="minMax"/>
          <c:max val="2.5"/>
          <c:min val="-2.5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92101062493782337"/>
              <c:y val="0.86795654913021858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66740224"/>
        <c:crossesAt val="-0.5"/>
        <c:crossBetween val="midCat"/>
        <c:majorUnit val="0.5"/>
      </c:valAx>
      <c:valAx>
        <c:axId val="66740224"/>
        <c:scaling>
          <c:orientation val="minMax"/>
        </c:scaling>
        <c:axPos val="l"/>
        <c:majorGridlines>
          <c:spPr>
            <a:ln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6.0044146631430789E-2"/>
              <c:y val="2.2440911351057528E-2"/>
            </c:manualLayout>
          </c:layout>
        </c:title>
        <c:numFmt formatCode="General" sourceLinked="1"/>
        <c:tickLblPos val="nextTo"/>
        <c:spPr>
          <a:ln w="12700">
            <a:solidFill>
              <a:schemeClr val="tx1"/>
            </a:solidFill>
          </a:ln>
        </c:spPr>
        <c:crossAx val="66741760"/>
        <c:crossesAt val="-2.5"/>
        <c:crossBetween val="midCat"/>
      </c:valAx>
    </c:plotArea>
    <c:plotVisOnly val="1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/>
              <a:t>y = g(x)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6549177677209809E-2"/>
          <c:y val="0.14282314710236271"/>
          <c:w val="0.87358282514309138"/>
          <c:h val="0.75727122147050463"/>
        </c:manualLayout>
      </c:layout>
      <c:scatterChart>
        <c:scatterStyle val="smoothMarker"/>
        <c:ser>
          <c:idx val="0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Лист1!$A$2:$A$42</c:f>
              <c:numCache>
                <c:formatCode>General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</c:numCache>
            </c:numRef>
          </c:xVal>
          <c:yVal>
            <c:numRef>
              <c:f>Лист1!$C$2:$C$42</c:f>
              <c:numCache>
                <c:formatCode>General</c:formatCode>
                <c:ptCount val="41"/>
                <c:pt idx="0">
                  <c:v>-2.901070470045239</c:v>
                </c:pt>
                <c:pt idx="1">
                  <c:v>-2.943416407105035</c:v>
                </c:pt>
                <c:pt idx="2">
                  <c:v>-2.973163684467512</c:v>
                </c:pt>
                <c:pt idx="3">
                  <c:v>-2.9915953350676752</c:v>
                </c:pt>
                <c:pt idx="4">
                  <c:v>-2.9995734212271388</c:v>
                </c:pt>
                <c:pt idx="5">
                  <c:v>-2.9974887115119406</c:v>
                </c:pt>
                <c:pt idx="6">
                  <c:v>-2.9852380196310517</c:v>
                </c:pt>
                <c:pt idx="7">
                  <c:v>-2.9622301795671051</c:v>
                </c:pt>
                <c:pt idx="8">
                  <c:v>-2.927420400131056</c:v>
                </c:pt>
                <c:pt idx="9">
                  <c:v>-2.8793715215566333</c:v>
                </c:pt>
                <c:pt idx="10">
                  <c:v>-2.8163395361501182</c:v>
                </c:pt>
                <c:pt idx="11">
                  <c:v>-2.7363796815359067</c:v>
                </c:pt>
                <c:pt idx="12">
                  <c:v>-2.6374685115479242</c:v>
                </c:pt>
                <c:pt idx="13">
                  <c:v>-2.5176366331631934</c:v>
                </c:pt>
                <c:pt idx="14">
                  <c:v>-2.3751062974234429</c:v>
                </c:pt>
                <c:pt idx="15">
                  <c:v>-2.2084277687466791</c:v>
                </c:pt>
                <c:pt idx="16">
                  <c:v>-2.0166083815995344</c:v>
                </c:pt>
                <c:pt idx="17">
                  <c:v>-1.7992284274388577</c:v>
                </c:pt>
                <c:pt idx="18">
                  <c:v>-1.5565384893866261</c:v>
                </c:pt>
                <c:pt idx="19">
                  <c:v>-1.2895335388611053</c:v>
                </c:pt>
                <c:pt idx="20">
                  <c:v>-1</c:v>
                </c:pt>
                <c:pt idx="21">
                  <c:v>2.1908902300206643</c:v>
                </c:pt>
                <c:pt idx="22">
                  <c:v>2.3664319132398464</c:v>
                </c:pt>
                <c:pt idx="23">
                  <c:v>2.5298221281347035</c:v>
                </c:pt>
                <c:pt idx="24">
                  <c:v>2.6832815729997477</c:v>
                </c:pt>
                <c:pt idx="25">
                  <c:v>2.8284271247461903</c:v>
                </c:pt>
                <c:pt idx="26">
                  <c:v>2.9664793948382653</c:v>
                </c:pt>
                <c:pt idx="27">
                  <c:v>3.0983866769659336</c:v>
                </c:pt>
                <c:pt idx="28">
                  <c:v>3.2249030993194201</c:v>
                </c:pt>
                <c:pt idx="29">
                  <c:v>3.3466401061363023</c:v>
                </c:pt>
                <c:pt idx="30">
                  <c:v>3.4641016151377544</c:v>
                </c:pt>
                <c:pt idx="31">
                  <c:v>3.5777087639996634</c:v>
                </c:pt>
                <c:pt idx="32">
                  <c:v>3.687817782917155</c:v>
                </c:pt>
                <c:pt idx="33">
                  <c:v>3.7947331922020551</c:v>
                </c:pt>
                <c:pt idx="34">
                  <c:v>3.8987177379235853</c:v>
                </c:pt>
                <c:pt idx="35">
                  <c:v>4</c:v>
                </c:pt>
                <c:pt idx="36">
                  <c:v>4.0987803063838397</c:v>
                </c:pt>
                <c:pt idx="37">
                  <c:v>4.1952353926806065</c:v>
                </c:pt>
                <c:pt idx="38">
                  <c:v>4.2895221179054435</c:v>
                </c:pt>
                <c:pt idx="39">
                  <c:v>4.3817804600413286</c:v>
                </c:pt>
                <c:pt idx="40">
                  <c:v>4.4721359549995796</c:v>
                </c:pt>
              </c:numCache>
            </c:numRef>
          </c:yVal>
          <c:smooth val="1"/>
        </c:ser>
        <c:axId val="137994624"/>
        <c:axId val="129432192"/>
      </c:scatterChart>
      <c:valAx>
        <c:axId val="137994624"/>
        <c:scaling>
          <c:orientation val="minMax"/>
          <c:max val="2.5"/>
          <c:min val="-2.5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94937230314825805"/>
              <c:y val="0.84984975918848638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129432192"/>
        <c:crossesAt val="-4"/>
        <c:crossBetween val="midCat"/>
        <c:majorUnit val="0.5"/>
      </c:valAx>
      <c:valAx>
        <c:axId val="129432192"/>
        <c:scaling>
          <c:orientation val="minMax"/>
          <c:max val="6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4.0012518441454037E-2"/>
              <c:y val="3.8208404961143417E-3"/>
            </c:manualLayout>
          </c:layout>
        </c:title>
        <c:numFmt formatCode="General" sourceLinked="1"/>
        <c:tickLblPos val="nextTo"/>
        <c:spPr>
          <a:noFill/>
          <a:ln w="12700">
            <a:solidFill>
              <a:sysClr val="windowText" lastClr="000000"/>
            </a:solidFill>
          </a:ln>
        </c:spPr>
        <c:crossAx val="137994624"/>
        <c:crossesAt val="-2.5"/>
        <c:crossBetween val="midCat"/>
        <c:majorUnit val="2"/>
      </c:valAx>
    </c:plotArea>
    <c:plotVisOnly val="1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/>
              <a:t>y = z(x)</a:t>
            </a:r>
          </a:p>
        </c:rich>
      </c:tx>
      <c:layout>
        <c:manualLayout>
          <c:xMode val="edge"/>
          <c:yMode val="edge"/>
          <c:x val="0.42166271221224338"/>
          <c:y val="0"/>
        </c:manualLayout>
      </c:layout>
    </c:title>
    <c:plotArea>
      <c:layout>
        <c:manualLayout>
          <c:layoutTarget val="inner"/>
          <c:xMode val="edge"/>
          <c:yMode val="edge"/>
          <c:x val="7.6323141114638116E-2"/>
          <c:y val="0.13188995403021123"/>
          <c:w val="0.8735828251430916"/>
          <c:h val="0.75727122147050485"/>
        </c:manualLayout>
      </c:layout>
      <c:scatterChart>
        <c:scatterStyle val="smoothMarker"/>
        <c:ser>
          <c:idx val="0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Лист1!$A$2:$A$42</c:f>
              <c:numCache>
                <c:formatCode>General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</c:numCache>
            </c:numRef>
          </c:xVal>
          <c:yVal>
            <c:numRef>
              <c:f>Лист1!$D$2:$D$42</c:f>
              <c:numCache>
                <c:formatCode>General</c:formatCode>
                <c:ptCount val="41"/>
                <c:pt idx="0">
                  <c:v>1.3416407864998738</c:v>
                </c:pt>
                <c:pt idx="1">
                  <c:v>1.3353202837910041</c:v>
                </c:pt>
                <c:pt idx="2">
                  <c:v>1.3282134404515813</c:v>
                </c:pt>
                <c:pt idx="3">
                  <c:v>1.3202009662394738</c:v>
                </c:pt>
                <c:pt idx="4">
                  <c:v>1.3111449666591051</c:v>
                </c:pt>
                <c:pt idx="5">
                  <c:v>1.3008872711759818</c:v>
                </c:pt>
                <c:pt idx="6">
                  <c:v>1.2892486812722215</c:v>
                </c:pt>
                <c:pt idx="7">
                  <c:v>1.2760300890277194</c:v>
                </c:pt>
                <c:pt idx="8">
                  <c:v>1.2610170238447336</c:v>
                </c:pt>
                <c:pt idx="9">
                  <c:v>1.2439900772181403</c:v>
                </c:pt>
                <c:pt idx="10">
                  <c:v>1.2247448713915889</c:v>
                </c:pt>
                <c:pt idx="11">
                  <c:v>1.2031266816735036</c:v>
                </c:pt>
                <c:pt idx="12">
                  <c:v>1.1790860453923728</c:v>
                </c:pt>
                <c:pt idx="13">
                  <c:v>1.1527614932858767</c:v>
                </c:pt>
                <c:pt idx="14">
                  <c:v>1.1245914290767742</c:v>
                </c:pt>
                <c:pt idx="15">
                  <c:v>1.0954451150103321</c:v>
                </c:pt>
                <c:pt idx="16">
                  <c:v>1.0667385033281394</c:v>
                </c:pt>
                <c:pt idx="17">
                  <c:v>1.0404656685059097</c:v>
                </c:pt>
                <c:pt idx="18">
                  <c:v>1.0190493307301363</c:v>
                </c:pt>
                <c:pt idx="19">
                  <c:v>1.0049383016379712</c:v>
                </c:pt>
                <c:pt idx="20">
                  <c:v>1.6292810191076135</c:v>
                </c:pt>
                <c:pt idx="21">
                  <c:v>1.3139165471530652</c:v>
                </c:pt>
                <c:pt idx="22">
                  <c:v>1.0485995632346941</c:v>
                </c:pt>
                <c:pt idx="23">
                  <c:v>0.82771876464818961</c:v>
                </c:pt>
                <c:pt idx="24">
                  <c:v>0.64568916490006611</c:v>
                </c:pt>
                <c:pt idx="25">
                  <c:v>0.49717262019158664</c:v>
                </c:pt>
                <c:pt idx="26">
                  <c:v>0.37721552255762492</c:v>
                </c:pt>
                <c:pt idx="27">
                  <c:v>0.28132531736141425</c:v>
                </c:pt>
                <c:pt idx="28">
                  <c:v>0.20550287332519301</c:v>
                </c:pt>
                <c:pt idx="29">
                  <c:v>0.14624393119611928</c:v>
                </c:pt>
                <c:pt idx="30">
                  <c:v>0.10051976574971733</c:v>
                </c:pt>
                <c:pt idx="31">
                  <c:v>0.31549138828649731</c:v>
                </c:pt>
                <c:pt idx="32">
                  <c:v>0.88504088658970415</c:v>
                </c:pt>
                <c:pt idx="33">
                  <c:v>1.3755323183679482</c:v>
                </c:pt>
                <c:pt idx="34">
                  <c:v>1.7431515448271755</c:v>
                </c:pt>
                <c:pt idx="35">
                  <c:v>1.955060235330194</c:v>
                </c:pt>
                <c:pt idx="36">
                  <c:v>1.9923292176716811</c:v>
                </c:pt>
                <c:pt idx="37">
                  <c:v>1.8516293646554649</c:v>
                </c:pt>
                <c:pt idx="38">
                  <c:v>1.5455289751119743</c:v>
                </c:pt>
                <c:pt idx="39">
                  <c:v>1.1013710851952767</c:v>
                </c:pt>
                <c:pt idx="40">
                  <c:v>0.55883099639785172</c:v>
                </c:pt>
              </c:numCache>
            </c:numRef>
          </c:yVal>
          <c:smooth val="1"/>
        </c:ser>
        <c:axId val="100084736"/>
        <c:axId val="127731200"/>
      </c:scatterChart>
      <c:valAx>
        <c:axId val="100084736"/>
        <c:scaling>
          <c:orientation val="minMax"/>
          <c:max val="2.5"/>
          <c:min val="-2.5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95783786925457537"/>
              <c:y val="0.80766254167685991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127731200"/>
        <c:crossesAt val="-4"/>
        <c:crossBetween val="midCat"/>
        <c:majorUnit val="0.5"/>
      </c:valAx>
      <c:valAx>
        <c:axId val="127731200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wordArtVert"/>
              <a:lstStyle/>
              <a:p>
                <a:pPr algn="l">
                  <a:defRPr/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5.0150420142566092E-2"/>
              <c:y val="3.2618345357501648E-4"/>
            </c:manualLayout>
          </c:layout>
        </c:title>
        <c:numFmt formatCode="General" sourceLinked="1"/>
        <c:tickLblPos val="nextTo"/>
        <c:spPr>
          <a:noFill/>
          <a:ln w="12700">
            <a:solidFill>
              <a:sysClr val="windowText" lastClr="000000"/>
            </a:solidFill>
          </a:ln>
        </c:spPr>
        <c:crossAx val="100084736"/>
        <c:crossesAt val="-2.5"/>
        <c:crossBetween val="midCat"/>
      </c:valAx>
    </c:plotArea>
    <c:plotVisOnly val="1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y = f(x)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1236893660988949E-2"/>
          <c:y val="0.14356559651010317"/>
          <c:w val="0.80539235047815672"/>
          <c:h val="0.76874360454848967"/>
        </c:manualLayout>
      </c:layout>
      <c:scatterChart>
        <c:scatterStyle val="smoothMarker"/>
        <c:ser>
          <c:idx val="0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Лист2!$C$2:$C$82</c:f>
              <c:numCache>
                <c:formatCode>General</c:formatCode>
                <c:ptCount val="81"/>
                <c:pt idx="0">
                  <c:v>-1</c:v>
                </c:pt>
                <c:pt idx="1">
                  <c:v>-0.98768834059513766</c:v>
                </c:pt>
                <c:pt idx="2">
                  <c:v>-0.95105651629515353</c:v>
                </c:pt>
                <c:pt idx="3">
                  <c:v>-0.89100652418836779</c:v>
                </c:pt>
                <c:pt idx="4">
                  <c:v>-0.80901699437494734</c:v>
                </c:pt>
                <c:pt idx="5">
                  <c:v>-0.70710678118654746</c:v>
                </c:pt>
                <c:pt idx="6">
                  <c:v>-0.58778525229247303</c:v>
                </c:pt>
                <c:pt idx="7">
                  <c:v>-0.45399049973954669</c:v>
                </c:pt>
                <c:pt idx="8">
                  <c:v>-0.30901699437494734</c:v>
                </c:pt>
                <c:pt idx="9">
                  <c:v>-0.15643446504023059</c:v>
                </c:pt>
                <c:pt idx="10">
                  <c:v>6.1257422745431001E-17</c:v>
                </c:pt>
                <c:pt idx="11">
                  <c:v>0.15643446504023092</c:v>
                </c:pt>
                <c:pt idx="12">
                  <c:v>0.30901699437494745</c:v>
                </c:pt>
                <c:pt idx="13">
                  <c:v>0.4539904997395468</c:v>
                </c:pt>
                <c:pt idx="14">
                  <c:v>0.58778525229247314</c:v>
                </c:pt>
                <c:pt idx="15">
                  <c:v>0.70710678118654757</c:v>
                </c:pt>
                <c:pt idx="16">
                  <c:v>0.80901699437494745</c:v>
                </c:pt>
                <c:pt idx="17">
                  <c:v>0.8910065241883679</c:v>
                </c:pt>
                <c:pt idx="18">
                  <c:v>0.95105651629515353</c:v>
                </c:pt>
                <c:pt idx="19">
                  <c:v>0.98768834059513777</c:v>
                </c:pt>
                <c:pt idx="20">
                  <c:v>1</c:v>
                </c:pt>
                <c:pt idx="21">
                  <c:v>0.98768834059513777</c:v>
                </c:pt>
                <c:pt idx="22">
                  <c:v>0.95105651629515353</c:v>
                </c:pt>
                <c:pt idx="23">
                  <c:v>0.8910065241883679</c:v>
                </c:pt>
                <c:pt idx="24">
                  <c:v>0.80901699437494745</c:v>
                </c:pt>
                <c:pt idx="25">
                  <c:v>0.70710678118654757</c:v>
                </c:pt>
                <c:pt idx="26">
                  <c:v>0.58778525229247314</c:v>
                </c:pt>
                <c:pt idx="27">
                  <c:v>0.4539904997395468</c:v>
                </c:pt>
                <c:pt idx="28">
                  <c:v>0.30901699437494745</c:v>
                </c:pt>
                <c:pt idx="29">
                  <c:v>0.15643446504023092</c:v>
                </c:pt>
                <c:pt idx="30">
                  <c:v>6.1257422745431001E-17</c:v>
                </c:pt>
                <c:pt idx="31">
                  <c:v>-0.15643446504023059</c:v>
                </c:pt>
                <c:pt idx="32">
                  <c:v>-0.30901699437494734</c:v>
                </c:pt>
                <c:pt idx="33">
                  <c:v>-0.45399049973954669</c:v>
                </c:pt>
                <c:pt idx="34">
                  <c:v>-0.58778525229247303</c:v>
                </c:pt>
                <c:pt idx="35">
                  <c:v>-0.70710678118654746</c:v>
                </c:pt>
                <c:pt idx="36">
                  <c:v>-0.80901699437494734</c:v>
                </c:pt>
                <c:pt idx="37">
                  <c:v>-0.89100652418836779</c:v>
                </c:pt>
                <c:pt idx="38">
                  <c:v>-0.95105651629515353</c:v>
                </c:pt>
                <c:pt idx="39">
                  <c:v>-0.98768834059513766</c:v>
                </c:pt>
                <c:pt idx="40">
                  <c:v>-1</c:v>
                </c:pt>
                <c:pt idx="41">
                  <c:v>-0.98768834059513777</c:v>
                </c:pt>
                <c:pt idx="42">
                  <c:v>-0.95105651629515375</c:v>
                </c:pt>
                <c:pt idx="43">
                  <c:v>-0.8910065241883679</c:v>
                </c:pt>
                <c:pt idx="44">
                  <c:v>-0.80901699437494756</c:v>
                </c:pt>
                <c:pt idx="45">
                  <c:v>-0.70710678118654768</c:v>
                </c:pt>
                <c:pt idx="46">
                  <c:v>-0.58778525229247325</c:v>
                </c:pt>
                <c:pt idx="47">
                  <c:v>-0.45399049973954692</c:v>
                </c:pt>
                <c:pt idx="48">
                  <c:v>-0.30901699437494756</c:v>
                </c:pt>
                <c:pt idx="49">
                  <c:v>-0.15643446504023104</c:v>
                </c:pt>
                <c:pt idx="50">
                  <c:v>-1.83772268236293E-16</c:v>
                </c:pt>
                <c:pt idx="51">
                  <c:v>0.15643446504023067</c:v>
                </c:pt>
                <c:pt idx="52">
                  <c:v>0.30901699437494723</c:v>
                </c:pt>
                <c:pt idx="53">
                  <c:v>0.45399049973954664</c:v>
                </c:pt>
                <c:pt idx="54">
                  <c:v>0.58778525229247292</c:v>
                </c:pt>
                <c:pt idx="55">
                  <c:v>0.70710678118654735</c:v>
                </c:pt>
                <c:pt idx="56">
                  <c:v>0.80901699437494734</c:v>
                </c:pt>
                <c:pt idx="57">
                  <c:v>0.89100652418836779</c:v>
                </c:pt>
                <c:pt idx="58">
                  <c:v>0.95105651629515353</c:v>
                </c:pt>
                <c:pt idx="59">
                  <c:v>0.98768834059513766</c:v>
                </c:pt>
                <c:pt idx="60">
                  <c:v>1</c:v>
                </c:pt>
                <c:pt idx="61">
                  <c:v>0.98768834059513788</c:v>
                </c:pt>
                <c:pt idx="62">
                  <c:v>0.95105651629515364</c:v>
                </c:pt>
                <c:pt idx="63">
                  <c:v>0.89100652418836801</c:v>
                </c:pt>
                <c:pt idx="64">
                  <c:v>0.80901699437494812</c:v>
                </c:pt>
                <c:pt idx="65">
                  <c:v>0.70710678118654768</c:v>
                </c:pt>
                <c:pt idx="66">
                  <c:v>0.58778525229247336</c:v>
                </c:pt>
                <c:pt idx="67">
                  <c:v>0.45399049973954625</c:v>
                </c:pt>
                <c:pt idx="68">
                  <c:v>0.30901699437494773</c:v>
                </c:pt>
                <c:pt idx="69">
                  <c:v>0.15643446504023203</c:v>
                </c:pt>
                <c:pt idx="70">
                  <c:v>3.06287113727155E-16</c:v>
                </c:pt>
                <c:pt idx="71">
                  <c:v>-0.15643446504022968</c:v>
                </c:pt>
                <c:pt idx="72">
                  <c:v>-0.30901699437494712</c:v>
                </c:pt>
                <c:pt idx="73">
                  <c:v>-0.4539904997395473</c:v>
                </c:pt>
                <c:pt idx="74">
                  <c:v>-0.58778525229247292</c:v>
                </c:pt>
                <c:pt idx="75">
                  <c:v>-0.70710678118654791</c:v>
                </c:pt>
                <c:pt idx="76">
                  <c:v>-0.80901699437494723</c:v>
                </c:pt>
                <c:pt idx="77">
                  <c:v>-0.89100652418836734</c:v>
                </c:pt>
                <c:pt idx="78">
                  <c:v>-0.95105651629515342</c:v>
                </c:pt>
                <c:pt idx="79">
                  <c:v>-0.98768834059513755</c:v>
                </c:pt>
                <c:pt idx="80">
                  <c:v>-1</c:v>
                </c:pt>
              </c:numCache>
            </c:numRef>
          </c:xVal>
          <c:yVal>
            <c:numRef>
              <c:f>Лист2!$D$2:$D$82</c:f>
              <c:numCache>
                <c:formatCode>General</c:formatCode>
                <c:ptCount val="81"/>
                <c:pt idx="0">
                  <c:v>0.99999999999999989</c:v>
                </c:pt>
                <c:pt idx="1">
                  <c:v>0.83739064059714308</c:v>
                </c:pt>
                <c:pt idx="2">
                  <c:v>0.66620427092598589</c:v>
                </c:pt>
                <c:pt idx="3">
                  <c:v>0.48994091947922658</c:v>
                </c:pt>
                <c:pt idx="4">
                  <c:v>0.31166846768146039</c:v>
                </c:pt>
                <c:pt idx="5">
                  <c:v>0.13378963406716693</c:v>
                </c:pt>
                <c:pt idx="6">
                  <c:v>-4.2345453040281145E-2</c:v>
                </c:pt>
                <c:pt idx="7">
                  <c:v>-0.21721835292120573</c:v>
                </c:pt>
                <c:pt idx="8">
                  <c:v>-0.39516354604373249</c:v>
                </c:pt>
                <c:pt idx="9">
                  <c:v>-0.59217037002966455</c:v>
                </c:pt>
                <c:pt idx="10">
                  <c:v>-0.99999999217328783</c:v>
                </c:pt>
                <c:pt idx="11">
                  <c:v>-0.59217037002966411</c:v>
                </c:pt>
                <c:pt idx="12">
                  <c:v>-0.39516354604373238</c:v>
                </c:pt>
                <c:pt idx="13">
                  <c:v>-0.2172183529212055</c:v>
                </c:pt>
                <c:pt idx="14">
                  <c:v>-4.2345453040281034E-2</c:v>
                </c:pt>
                <c:pt idx="15">
                  <c:v>0.13378963406716715</c:v>
                </c:pt>
                <c:pt idx="16">
                  <c:v>0.3116684676814605</c:v>
                </c:pt>
                <c:pt idx="17">
                  <c:v>0.48994091947922669</c:v>
                </c:pt>
                <c:pt idx="18">
                  <c:v>0.66620427092598611</c:v>
                </c:pt>
                <c:pt idx="19">
                  <c:v>0.8373906405971433</c:v>
                </c:pt>
                <c:pt idx="20">
                  <c:v>1</c:v>
                </c:pt>
                <c:pt idx="21">
                  <c:v>1.1502595706776051</c:v>
                </c:pt>
                <c:pt idx="22">
                  <c:v>1.2842382596758808</c:v>
                </c:pt>
                <c:pt idx="23">
                  <c:v>1.3979219189583203</c:v>
                </c:pt>
                <c:pt idx="24">
                  <c:v>1.4872389722664068</c:v>
                </c:pt>
                <c:pt idx="25">
                  <c:v>1.5480031964402621</c:v>
                </c:pt>
                <c:pt idx="26">
                  <c:v>1.575688535709614</c:v>
                </c:pt>
                <c:pt idx="27">
                  <c:v>1.5647946954555301</c:v>
                </c:pt>
                <c:pt idx="28">
                  <c:v>1.5069494865465747</c:v>
                </c:pt>
                <c:pt idx="29">
                  <c:v>1.3832063111606114</c:v>
                </c:pt>
                <c:pt idx="30">
                  <c:v>1.0000000078267122</c:v>
                </c:pt>
                <c:pt idx="31">
                  <c:v>1.383206311160611</c:v>
                </c:pt>
                <c:pt idx="32">
                  <c:v>1.5069494865465747</c:v>
                </c:pt>
                <c:pt idx="33">
                  <c:v>1.5647946954555301</c:v>
                </c:pt>
                <c:pt idx="34">
                  <c:v>1.5756885357096138</c:v>
                </c:pt>
                <c:pt idx="35">
                  <c:v>1.5480031964402621</c:v>
                </c:pt>
                <c:pt idx="36">
                  <c:v>1.487238972266407</c:v>
                </c:pt>
                <c:pt idx="37">
                  <c:v>1.3979219189583203</c:v>
                </c:pt>
                <c:pt idx="38">
                  <c:v>1.284238259675881</c:v>
                </c:pt>
                <c:pt idx="39">
                  <c:v>1.1502595706776051</c:v>
                </c:pt>
                <c:pt idx="40">
                  <c:v>1.0000000000000002</c:v>
                </c:pt>
                <c:pt idx="41">
                  <c:v>0.83739064059714341</c:v>
                </c:pt>
                <c:pt idx="42">
                  <c:v>0.66620427092598666</c:v>
                </c:pt>
                <c:pt idx="43">
                  <c:v>0.48994091947922674</c:v>
                </c:pt>
                <c:pt idx="44">
                  <c:v>0.31166846768146073</c:v>
                </c:pt>
                <c:pt idx="45">
                  <c:v>0.13378963406716715</c:v>
                </c:pt>
                <c:pt idx="46">
                  <c:v>-4.2345453040280812E-2</c:v>
                </c:pt>
                <c:pt idx="47">
                  <c:v>-0.21721835292120539</c:v>
                </c:pt>
                <c:pt idx="48">
                  <c:v>-0.39516354604373227</c:v>
                </c:pt>
                <c:pt idx="49">
                  <c:v>-0.59217037002966388</c:v>
                </c:pt>
                <c:pt idx="50">
                  <c:v>-0.99999998644373689</c:v>
                </c:pt>
                <c:pt idx="51">
                  <c:v>-0.59217037002966433</c:v>
                </c:pt>
                <c:pt idx="52">
                  <c:v>-0.39516354604373261</c:v>
                </c:pt>
                <c:pt idx="53">
                  <c:v>-0.21721835292120573</c:v>
                </c:pt>
                <c:pt idx="54">
                  <c:v>-4.2345453040281256E-2</c:v>
                </c:pt>
                <c:pt idx="55">
                  <c:v>0.13378963406716671</c:v>
                </c:pt>
                <c:pt idx="56">
                  <c:v>0.31166846768146028</c:v>
                </c:pt>
                <c:pt idx="57">
                  <c:v>0.48994091947922647</c:v>
                </c:pt>
                <c:pt idx="58">
                  <c:v>0.66620427092598589</c:v>
                </c:pt>
                <c:pt idx="59">
                  <c:v>0.83739064059714297</c:v>
                </c:pt>
                <c:pt idx="60">
                  <c:v>0.99999999999999978</c:v>
                </c:pt>
                <c:pt idx="61">
                  <c:v>1.150259570677604</c:v>
                </c:pt>
                <c:pt idx="62">
                  <c:v>1.2842382596758806</c:v>
                </c:pt>
                <c:pt idx="63">
                  <c:v>1.3979219189583201</c:v>
                </c:pt>
                <c:pt idx="64">
                  <c:v>1.4872389722664061</c:v>
                </c:pt>
                <c:pt idx="65">
                  <c:v>1.5480031964402619</c:v>
                </c:pt>
                <c:pt idx="66">
                  <c:v>1.5756885357096138</c:v>
                </c:pt>
                <c:pt idx="67">
                  <c:v>1.5647946954555301</c:v>
                </c:pt>
                <c:pt idx="68">
                  <c:v>1.5069494865465751</c:v>
                </c:pt>
                <c:pt idx="69">
                  <c:v>1.3832063111606128</c:v>
                </c:pt>
                <c:pt idx="70">
                  <c:v>1.0000000175010604</c:v>
                </c:pt>
                <c:pt idx="71">
                  <c:v>1.3832063111606101</c:v>
                </c:pt>
                <c:pt idx="72">
                  <c:v>1.5069494865465747</c:v>
                </c:pt>
                <c:pt idx="73">
                  <c:v>1.5647946954555301</c:v>
                </c:pt>
                <c:pt idx="74">
                  <c:v>1.575688535709614</c:v>
                </c:pt>
                <c:pt idx="75">
                  <c:v>1.5480031964402619</c:v>
                </c:pt>
                <c:pt idx="76">
                  <c:v>1.487238972266407</c:v>
                </c:pt>
                <c:pt idx="77">
                  <c:v>1.3979219189583212</c:v>
                </c:pt>
                <c:pt idx="78">
                  <c:v>1.284238259675881</c:v>
                </c:pt>
                <c:pt idx="79">
                  <c:v>1.1502595706776062</c:v>
                </c:pt>
                <c:pt idx="80">
                  <c:v>1.0000000000000004</c:v>
                </c:pt>
              </c:numCache>
            </c:numRef>
          </c:yVal>
          <c:smooth val="1"/>
        </c:ser>
        <c:axId val="100041088"/>
        <c:axId val="100043776"/>
      </c:scatterChart>
      <c:valAx>
        <c:axId val="100041088"/>
        <c:scaling>
          <c:orientation val="minMax"/>
          <c:max val="1.5"/>
          <c:min val="-1.5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92101062493782337"/>
              <c:y val="0.86795654913021858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100043776"/>
        <c:crossesAt val="-1.5"/>
        <c:crossBetween val="midCat"/>
        <c:majorUnit val="0.5"/>
      </c:valAx>
      <c:valAx>
        <c:axId val="100043776"/>
        <c:scaling>
          <c:orientation val="minMax"/>
        </c:scaling>
        <c:axPos val="l"/>
        <c:majorGridlines>
          <c:spPr>
            <a:ln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6.0044146631430789E-2"/>
              <c:y val="2.2440911351057542E-2"/>
            </c:manualLayout>
          </c:layout>
        </c:title>
        <c:numFmt formatCode="General" sourceLinked="1"/>
        <c:tickLblPos val="nextTo"/>
        <c:spPr>
          <a:ln w="12700">
            <a:solidFill>
              <a:schemeClr val="tx1"/>
            </a:solidFill>
          </a:ln>
        </c:spPr>
        <c:crossAx val="100041088"/>
        <c:crossesAt val="-2.5"/>
        <c:crossBetween val="midCat"/>
      </c:valAx>
    </c:plotArea>
    <c:plotVisOnly val="1"/>
  </c:chart>
  <c:spPr>
    <a:ln>
      <a:noFill/>
    </a:ln>
  </c:spPr>
  <c:txPr>
    <a:bodyPr/>
    <a:lstStyle/>
    <a:p>
      <a:pPr>
        <a:defRPr sz="14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col"/>
        <c:grouping val="clustered"/>
        <c:ser>
          <c:idx val="1"/>
          <c:order val="1"/>
          <c:tx>
            <c:v>Давление</c:v>
          </c:tx>
          <c:cat>
            <c:numRef>
              <c:f>Лист3!$A$3:$A$12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Лист3!$C$3:$C$12</c:f>
              <c:numCache>
                <c:formatCode>General</c:formatCode>
                <c:ptCount val="10"/>
                <c:pt idx="0">
                  <c:v>746</c:v>
                </c:pt>
                <c:pt idx="1">
                  <c:v>745</c:v>
                </c:pt>
                <c:pt idx="2">
                  <c:v>747</c:v>
                </c:pt>
                <c:pt idx="3">
                  <c:v>746</c:v>
                </c:pt>
                <c:pt idx="4">
                  <c:v>749</c:v>
                </c:pt>
                <c:pt idx="5">
                  <c:v>747</c:v>
                </c:pt>
                <c:pt idx="6">
                  <c:v>745</c:v>
                </c:pt>
                <c:pt idx="7">
                  <c:v>747</c:v>
                </c:pt>
                <c:pt idx="8">
                  <c:v>748</c:v>
                </c:pt>
                <c:pt idx="9">
                  <c:v>750</c:v>
                </c:pt>
              </c:numCache>
            </c:numRef>
          </c:val>
        </c:ser>
        <c:ser>
          <c:idx val="2"/>
          <c:order val="2"/>
          <c:tx>
            <c:v>Осадки</c:v>
          </c:tx>
          <c:cat>
            <c:numRef>
              <c:f>Лист3!$A$3:$A$12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Лист3!$D$3:$D$12</c:f>
              <c:numCache>
                <c:formatCode>General</c:formatCode>
                <c:ptCount val="10"/>
                <c:pt idx="0">
                  <c:v>545</c:v>
                </c:pt>
                <c:pt idx="1">
                  <c:v>567</c:v>
                </c:pt>
                <c:pt idx="2">
                  <c:v>570</c:v>
                </c:pt>
                <c:pt idx="3">
                  <c:v>551</c:v>
                </c:pt>
                <c:pt idx="4">
                  <c:v>552</c:v>
                </c:pt>
                <c:pt idx="5">
                  <c:v>549</c:v>
                </c:pt>
                <c:pt idx="6">
                  <c:v>563</c:v>
                </c:pt>
                <c:pt idx="7">
                  <c:v>567</c:v>
                </c:pt>
                <c:pt idx="8">
                  <c:v>568</c:v>
                </c:pt>
                <c:pt idx="9">
                  <c:v>555</c:v>
                </c:pt>
              </c:numCache>
            </c:numRef>
          </c:val>
        </c:ser>
        <c:axId val="99984896"/>
        <c:axId val="99986432"/>
      </c:barChart>
      <c:scatterChart>
        <c:scatterStyle val="smoothMarker"/>
        <c:ser>
          <c:idx val="0"/>
          <c:order val="0"/>
          <c:tx>
            <c:v>Температура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yVal>
            <c:numRef>
              <c:f>Лист3!$B$3:$B$12</c:f>
              <c:numCache>
                <c:formatCode>General</c:formatCode>
                <c:ptCount val="10"/>
                <c:pt idx="0">
                  <c:v>3.3</c:v>
                </c:pt>
                <c:pt idx="1">
                  <c:v>2.8</c:v>
                </c:pt>
                <c:pt idx="2">
                  <c:v>3.7</c:v>
                </c:pt>
                <c:pt idx="3">
                  <c:v>3.6</c:v>
                </c:pt>
                <c:pt idx="4">
                  <c:v>3.7</c:v>
                </c:pt>
                <c:pt idx="5">
                  <c:v>3</c:v>
                </c:pt>
                <c:pt idx="6">
                  <c:v>3.4</c:v>
                </c:pt>
                <c:pt idx="7">
                  <c:v>4.5</c:v>
                </c:pt>
                <c:pt idx="8">
                  <c:v>3.3</c:v>
                </c:pt>
                <c:pt idx="9">
                  <c:v>3.7</c:v>
                </c:pt>
              </c:numCache>
            </c:numRef>
          </c:yVal>
          <c:smooth val="1"/>
        </c:ser>
        <c:axId val="132716416"/>
        <c:axId val="103398016"/>
      </c:scatterChart>
      <c:catAx>
        <c:axId val="99984896"/>
        <c:scaling>
          <c:orientation val="minMax"/>
        </c:scaling>
        <c:axPos val="b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txPr>
          <a:bodyPr rot="-2700000" vert="horz"/>
          <a:lstStyle/>
          <a:p>
            <a:pPr>
              <a:defRPr/>
            </a:pPr>
            <a:endParaRPr lang="ru-RU"/>
          </a:p>
        </c:txPr>
        <c:crossAx val="99986432"/>
        <c:crosses val="autoZero"/>
        <c:auto val="1"/>
        <c:lblAlgn val="ctr"/>
        <c:lblOffset val="100"/>
      </c:catAx>
      <c:valAx>
        <c:axId val="99986432"/>
        <c:scaling>
          <c:orientation val="minMax"/>
        </c:scaling>
        <c:axPos val="l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/>
                  <a:t>Давление и осадки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99984896"/>
        <c:crosses val="autoZero"/>
        <c:crossBetween val="between"/>
      </c:valAx>
      <c:valAx>
        <c:axId val="103398016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/>
                  <a:t>Температура</a:t>
                </a:r>
              </a:p>
            </c:rich>
          </c:tx>
          <c:layout/>
        </c:title>
        <c:numFmt formatCode="General" sourceLinked="1"/>
        <c:tickLblPos val="nextTo"/>
        <c:crossAx val="132716416"/>
        <c:crosses val="max"/>
        <c:crossBetween val="midCat"/>
      </c:valAx>
      <c:valAx>
        <c:axId val="132716416"/>
        <c:scaling>
          <c:orientation val="minMax"/>
        </c:scaling>
        <c:delete val="1"/>
        <c:axPos val="b"/>
        <c:tickLblPos val="none"/>
        <c:crossAx val="103398016"/>
        <c:crossBetween val="midCat"/>
      </c:valAx>
    </c:plotArea>
    <c:legend>
      <c:legendPos val="r"/>
      <c:layout/>
    </c:legend>
    <c:plotVisOnly val="1"/>
    <c:dispBlanksAs val="gap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8.1236893660988949E-2"/>
          <c:y val="0.18857617953224279"/>
          <c:w val="0.75935046766497183"/>
          <c:h val="0.70836312018385827"/>
        </c:manualLayout>
      </c:layout>
      <c:scatterChart>
        <c:scatterStyle val="smoothMarker"/>
        <c:ser>
          <c:idx val="0"/>
          <c:order val="0"/>
          <c:spPr>
            <a:ln w="25400" cap="flat" cmpd="sng" algn="ctr">
              <a:solidFill>
                <a:schemeClr val="accent1"/>
              </a:solidFill>
              <a:prstDash val="solid"/>
            </a:ln>
            <a:effectLst/>
          </c:spPr>
          <c:marker>
            <c:spPr>
              <a:solidFill>
                <a:schemeClr val="accent1"/>
              </a:solidFill>
              <a:ln w="25400" cap="flat" cmpd="sng" algn="ctr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Лист3!$D$3:$D$12</c:f>
              <c:numCache>
                <c:formatCode>General</c:formatCode>
                <c:ptCount val="10"/>
                <c:pt idx="0">
                  <c:v>545</c:v>
                </c:pt>
                <c:pt idx="1">
                  <c:v>567</c:v>
                </c:pt>
                <c:pt idx="2">
                  <c:v>570</c:v>
                </c:pt>
                <c:pt idx="3">
                  <c:v>551</c:v>
                </c:pt>
                <c:pt idx="4">
                  <c:v>552</c:v>
                </c:pt>
                <c:pt idx="5">
                  <c:v>549</c:v>
                </c:pt>
                <c:pt idx="6">
                  <c:v>563</c:v>
                </c:pt>
                <c:pt idx="7">
                  <c:v>567</c:v>
                </c:pt>
                <c:pt idx="8">
                  <c:v>568</c:v>
                </c:pt>
                <c:pt idx="9">
                  <c:v>555</c:v>
                </c:pt>
              </c:numCache>
            </c:numRef>
          </c:xVal>
          <c:yVal>
            <c:numRef>
              <c:f>Лист3!$B$3:$B$12</c:f>
              <c:numCache>
                <c:formatCode>General</c:formatCode>
                <c:ptCount val="10"/>
                <c:pt idx="0">
                  <c:v>3.3</c:v>
                </c:pt>
                <c:pt idx="1">
                  <c:v>2.8</c:v>
                </c:pt>
                <c:pt idx="2">
                  <c:v>3.7</c:v>
                </c:pt>
                <c:pt idx="3">
                  <c:v>3.6</c:v>
                </c:pt>
                <c:pt idx="4">
                  <c:v>3.7</c:v>
                </c:pt>
                <c:pt idx="5">
                  <c:v>3</c:v>
                </c:pt>
                <c:pt idx="6">
                  <c:v>3.4</c:v>
                </c:pt>
                <c:pt idx="7">
                  <c:v>4.5</c:v>
                </c:pt>
                <c:pt idx="8">
                  <c:v>3.3</c:v>
                </c:pt>
                <c:pt idx="9">
                  <c:v>3.7</c:v>
                </c:pt>
              </c:numCache>
            </c:numRef>
          </c:yVal>
          <c:smooth val="1"/>
        </c:ser>
        <c:axId val="180966528"/>
        <c:axId val="180968832"/>
      </c:scatterChart>
      <c:valAx>
        <c:axId val="180966528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Осадки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5856188266321787"/>
              <c:y val="0.87880086521562795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180968832"/>
        <c:crossesAt val="-0.5"/>
        <c:crossBetween val="midCat"/>
      </c:valAx>
      <c:valAx>
        <c:axId val="180968832"/>
        <c:scaling>
          <c:orientation val="minMax"/>
          <c:min val="2.5"/>
        </c:scaling>
        <c:axPos val="l"/>
        <c:majorGridlines>
          <c:spPr>
            <a:ln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ru-RU"/>
                  <a:t>Темпер</a:t>
                </a:r>
                <a:r>
                  <a:rPr lang="ru-RU" b="0"/>
                  <a:t>ат</a:t>
                </a:r>
                <a:r>
                  <a:rPr lang="ru-RU"/>
                  <a:t>ура</a:t>
                </a:r>
              </a:p>
            </c:rich>
          </c:tx>
          <c:layout>
            <c:manualLayout>
              <c:xMode val="edge"/>
              <c:yMode val="edge"/>
              <c:x val="2.3656366625669376E-2"/>
              <c:y val="9.5154522103555517E-2"/>
            </c:manualLayout>
          </c:layout>
        </c:title>
        <c:numFmt formatCode="General" sourceLinked="1"/>
        <c:tickLblPos val="nextTo"/>
        <c:spPr>
          <a:ln w="12700">
            <a:solidFill>
              <a:schemeClr val="tx1"/>
            </a:solidFill>
          </a:ln>
        </c:spPr>
        <c:crossAx val="180966528"/>
        <c:crossesAt val="-2.5"/>
        <c:crossBetween val="midCat"/>
      </c:valAx>
    </c:plotArea>
    <c:plotVisOnly val="1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y1, y2, y3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y1</c:v>
          </c:tx>
          <c:marker>
            <c:symbol val="none"/>
          </c:marker>
          <c:xVal>
            <c:numRef>
              <c:f>Лист4!$A$2:$A$52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Лист4!$B$2:$B$52</c:f>
              <c:numCache>
                <c:formatCode>General</c:formatCode>
                <c:ptCount val="51"/>
                <c:pt idx="0">
                  <c:v>-1</c:v>
                </c:pt>
                <c:pt idx="1">
                  <c:v>-0.99</c:v>
                </c:pt>
                <c:pt idx="2">
                  <c:v>-0.96</c:v>
                </c:pt>
                <c:pt idx="3">
                  <c:v>-0.91</c:v>
                </c:pt>
                <c:pt idx="4">
                  <c:v>-0.84</c:v>
                </c:pt>
                <c:pt idx="5">
                  <c:v>-0.75</c:v>
                </c:pt>
                <c:pt idx="6">
                  <c:v>-0.64</c:v>
                </c:pt>
                <c:pt idx="7">
                  <c:v>-0.51</c:v>
                </c:pt>
                <c:pt idx="8">
                  <c:v>-0.35999999999999988</c:v>
                </c:pt>
                <c:pt idx="9">
                  <c:v>-0.18999999999999995</c:v>
                </c:pt>
                <c:pt idx="10">
                  <c:v>0</c:v>
                </c:pt>
                <c:pt idx="11">
                  <c:v>0.21000000000000019</c:v>
                </c:pt>
                <c:pt idx="12">
                  <c:v>0.43999999999999995</c:v>
                </c:pt>
                <c:pt idx="13">
                  <c:v>0.69000000000000017</c:v>
                </c:pt>
                <c:pt idx="14">
                  <c:v>0.95999999999999974</c:v>
                </c:pt>
                <c:pt idx="15">
                  <c:v>1.25</c:v>
                </c:pt>
                <c:pt idx="16">
                  <c:v>1.5600000000000005</c:v>
                </c:pt>
                <c:pt idx="17">
                  <c:v>1.8899999999999997</c:v>
                </c:pt>
                <c:pt idx="18">
                  <c:v>2.2400000000000002</c:v>
                </c:pt>
                <c:pt idx="19">
                  <c:v>2.61</c:v>
                </c:pt>
                <c:pt idx="20">
                  <c:v>3</c:v>
                </c:pt>
                <c:pt idx="21">
                  <c:v>3.41</c:v>
                </c:pt>
                <c:pt idx="22">
                  <c:v>3.8400000000000007</c:v>
                </c:pt>
                <c:pt idx="23">
                  <c:v>4.2899999999999991</c:v>
                </c:pt>
                <c:pt idx="24">
                  <c:v>4.76</c:v>
                </c:pt>
                <c:pt idx="25">
                  <c:v>5.25</c:v>
                </c:pt>
                <c:pt idx="26">
                  <c:v>5.7600000000000007</c:v>
                </c:pt>
                <c:pt idx="27">
                  <c:v>6.2900000000000009</c:v>
                </c:pt>
                <c:pt idx="28">
                  <c:v>6.839999999999999</c:v>
                </c:pt>
                <c:pt idx="29">
                  <c:v>7.41</c:v>
                </c:pt>
                <c:pt idx="30">
                  <c:v>8</c:v>
                </c:pt>
                <c:pt idx="31">
                  <c:v>8.6100000000000012</c:v>
                </c:pt>
                <c:pt idx="32">
                  <c:v>9.240000000000002</c:v>
                </c:pt>
                <c:pt idx="33">
                  <c:v>9.8899999999999988</c:v>
                </c:pt>
                <c:pt idx="34">
                  <c:v>10.559999999999999</c:v>
                </c:pt>
                <c:pt idx="35">
                  <c:v>11.25</c:v>
                </c:pt>
                <c:pt idx="36">
                  <c:v>11.96</c:v>
                </c:pt>
                <c:pt idx="37">
                  <c:v>12.690000000000001</c:v>
                </c:pt>
                <c:pt idx="38">
                  <c:v>13.44</c:v>
                </c:pt>
                <c:pt idx="39">
                  <c:v>14.209999999999999</c:v>
                </c:pt>
                <c:pt idx="40">
                  <c:v>15</c:v>
                </c:pt>
                <c:pt idx="41">
                  <c:v>15.809999999999999</c:v>
                </c:pt>
                <c:pt idx="42">
                  <c:v>16.64</c:v>
                </c:pt>
                <c:pt idx="43">
                  <c:v>17.489999999999998</c:v>
                </c:pt>
                <c:pt idx="44">
                  <c:v>18.360000000000003</c:v>
                </c:pt>
                <c:pt idx="45">
                  <c:v>19.25</c:v>
                </c:pt>
                <c:pt idx="46">
                  <c:v>20.159999999999997</c:v>
                </c:pt>
                <c:pt idx="47">
                  <c:v>21.090000000000003</c:v>
                </c:pt>
                <c:pt idx="48">
                  <c:v>22.04</c:v>
                </c:pt>
                <c:pt idx="49">
                  <c:v>23.010000000000005</c:v>
                </c:pt>
                <c:pt idx="50">
                  <c:v>24</c:v>
                </c:pt>
              </c:numCache>
            </c:numRef>
          </c:yVal>
          <c:smooth val="1"/>
        </c:ser>
        <c:ser>
          <c:idx val="1"/>
          <c:order val="1"/>
          <c:tx>
            <c:v>y2</c:v>
          </c:tx>
          <c:marker>
            <c:symbol val="none"/>
          </c:marker>
          <c:xVal>
            <c:numRef>
              <c:f>Лист4!$A$2:$A$52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Лист4!$C$2:$C$52</c:f>
              <c:numCache>
                <c:formatCode>General</c:formatCode>
                <c:ptCount val="51"/>
                <c:pt idx="0">
                  <c:v>0.36787944117144233</c:v>
                </c:pt>
                <c:pt idx="1">
                  <c:v>0.40860589668014125</c:v>
                </c:pt>
                <c:pt idx="2">
                  <c:v>0.45837549263852345</c:v>
                </c:pt>
                <c:pt idx="3">
                  <c:v>0.51926730538520327</c:v>
                </c:pt>
                <c:pt idx="4">
                  <c:v>0.59389009974424123</c:v>
                </c:pt>
                <c:pt idx="5">
                  <c:v>0.68551660170131035</c:v>
                </c:pt>
                <c:pt idx="6">
                  <c:v>0.79824826977709329</c:v>
                </c:pt>
                <c:pt idx="7">
                  <c:v>0.93721535620779417</c:v>
                </c:pt>
                <c:pt idx="8">
                  <c:v>1.1088165669255849</c:v>
                </c:pt>
                <c:pt idx="9">
                  <c:v>1.3210013291765323</c:v>
                </c:pt>
                <c:pt idx="10">
                  <c:v>1.5835951825092973</c:v>
                </c:pt>
                <c:pt idx="11">
                  <c:v>1.9086646827358325</c:v>
                </c:pt>
                <c:pt idx="12">
                  <c:v>2.3109119854640934</c:v>
                </c:pt>
                <c:pt idx="13">
                  <c:v>2.8080805492301493</c:v>
                </c:pt>
                <c:pt idx="14">
                  <c:v>3.4213419498166266</c:v>
                </c:pt>
                <c:pt idx="15">
                  <c:v>4.1756197831222464</c:v>
                </c:pt>
                <c:pt idx="16">
                  <c:v>5.0997908154022813</c:v>
                </c:pt>
                <c:pt idx="17">
                  <c:v>6.2266875270495019</c:v>
                </c:pt>
                <c:pt idx="18">
                  <c:v>7.5928126409514949</c:v>
                </c:pt>
                <c:pt idx="19">
                  <c:v>9.2376688684860806</c:v>
                </c:pt>
                <c:pt idx="20">
                  <c:v>11.202610556550299</c:v>
                </c:pt>
                <c:pt idx="21">
                  <c:v>13.529143069642426</c:v>
                </c:pt>
                <c:pt idx="22">
                  <c:v>16.256634741880308</c:v>
                </c:pt>
                <c:pt idx="23">
                  <c:v>19.419467091763202</c:v>
                </c:pt>
                <c:pt idx="24">
                  <c:v>23.04373001049867</c:v>
                </c:pt>
                <c:pt idx="25">
                  <c:v>27.143663092527326</c:v>
                </c:pt>
                <c:pt idx="26">
                  <c:v>31.718139885967197</c:v>
                </c:pt>
                <c:pt idx="27">
                  <c:v>36.747571506407169</c:v>
                </c:pt>
                <c:pt idx="28">
                  <c:v>42.191650274397041</c:v>
                </c:pt>
                <c:pt idx="29">
                  <c:v>47.988344818864505</c:v>
                </c:pt>
                <c:pt idx="30">
                  <c:v>54.054483769415469</c:v>
                </c:pt>
                <c:pt idx="31">
                  <c:v>60.28812487583221</c:v>
                </c:pt>
                <c:pt idx="32">
                  <c:v>66.572712794898209</c:v>
                </c:pt>
                <c:pt idx="33">
                  <c:v>72.782807740972444</c:v>
                </c:pt>
                <c:pt idx="34">
                  <c:v>78.790953941664512</c:v>
                </c:pt>
                <c:pt idx="35">
                  <c:v>84.475089095022142</c:v>
                </c:pt>
                <c:pt idx="36">
                  <c:v>89.725805671352433</c:v>
                </c:pt>
                <c:pt idx="37">
                  <c:v>94.45278043762967</c:v>
                </c:pt>
                <c:pt idx="38">
                  <c:v>98.589790528757433</c:v>
                </c:pt>
                <c:pt idx="39">
                  <c:v>102.09791504020257</c:v>
                </c:pt>
                <c:pt idx="40">
                  <c:v>104.96674869024919</c:v>
                </c:pt>
                <c:pt idx="41">
                  <c:v>107.21369008859114</c:v>
                </c:pt>
                <c:pt idx="42">
                  <c:v>108.88157474255433</c:v>
                </c:pt>
                <c:pt idx="43">
                  <c:v>110.03507428228527</c:v>
                </c:pt>
                <c:pt idx="44">
                  <c:v>110.75636399447829</c:v>
                </c:pt>
                <c:pt idx="45">
                  <c:v>111.14057032515386</c:v>
                </c:pt>
                <c:pt idx="46">
                  <c:v>111.2914601287828</c:v>
                </c:pt>
                <c:pt idx="47">
                  <c:v>111.31774321083117</c:v>
                </c:pt>
                <c:pt idx="48">
                  <c:v>111.33025080672616</c:v>
                </c:pt>
                <c:pt idx="49">
                  <c:v>111.44014499533297</c:v>
                </c:pt>
                <c:pt idx="50">
                  <c:v>111.75822298409004</c:v>
                </c:pt>
              </c:numCache>
            </c:numRef>
          </c:yVal>
          <c:smooth val="1"/>
        </c:ser>
        <c:ser>
          <c:idx val="2"/>
          <c:order val="2"/>
          <c:tx>
            <c:v>y3</c:v>
          </c:tx>
          <c:marker>
            <c:symbol val="none"/>
          </c:marker>
          <c:xVal>
            <c:numRef>
              <c:f>Лист4!$A$2:$A$52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Лист4!$D$2:$D$52</c:f>
              <c:numCache>
                <c:formatCode>General</c:formatCode>
                <c:ptCount val="51"/>
                <c:pt idx="0">
                  <c:v>0</c:v>
                </c:pt>
                <c:pt idx="1">
                  <c:v>-2.3025850929940455</c:v>
                </c:pt>
                <c:pt idx="2">
                  <c:v>-1.6094379124341003</c:v>
                </c:pt>
                <c:pt idx="3">
                  <c:v>-1.2039728043259361</c:v>
                </c:pt>
                <c:pt idx="4">
                  <c:v>-0.916290731874155</c:v>
                </c:pt>
                <c:pt idx="5">
                  <c:v>-0.69314718055994529</c:v>
                </c:pt>
                <c:pt idx="6">
                  <c:v>-0.51082562376599072</c:v>
                </c:pt>
                <c:pt idx="7">
                  <c:v>-0.35667494393873245</c:v>
                </c:pt>
                <c:pt idx="8">
                  <c:v>-0.22314355131420971</c:v>
                </c:pt>
                <c:pt idx="9">
                  <c:v>-0.10536051565782628</c:v>
                </c:pt>
                <c:pt idx="10">
                  <c:v>0</c:v>
                </c:pt>
                <c:pt idx="11">
                  <c:v>9.5310179804324935E-2</c:v>
                </c:pt>
                <c:pt idx="12">
                  <c:v>0.18232155679395459</c:v>
                </c:pt>
                <c:pt idx="13">
                  <c:v>0.26236426446749106</c:v>
                </c:pt>
                <c:pt idx="14">
                  <c:v>0.33647223662121289</c:v>
                </c:pt>
                <c:pt idx="15">
                  <c:v>0.40546510810816438</c:v>
                </c:pt>
                <c:pt idx="16">
                  <c:v>0.47000362924573563</c:v>
                </c:pt>
                <c:pt idx="17">
                  <c:v>0.53062825106217038</c:v>
                </c:pt>
                <c:pt idx="18">
                  <c:v>0.58778666490211906</c:v>
                </c:pt>
                <c:pt idx="19">
                  <c:v>0.64185388617239469</c:v>
                </c:pt>
                <c:pt idx="20">
                  <c:v>0.69314718055994529</c:v>
                </c:pt>
                <c:pt idx="21">
                  <c:v>0.74193734472937733</c:v>
                </c:pt>
                <c:pt idx="22">
                  <c:v>0.78845736036427028</c:v>
                </c:pt>
                <c:pt idx="23">
                  <c:v>0.83290912293510388</c:v>
                </c:pt>
                <c:pt idx="24">
                  <c:v>0.87546873735389985</c:v>
                </c:pt>
                <c:pt idx="25">
                  <c:v>0.91629073187415511</c:v>
                </c:pt>
                <c:pt idx="26">
                  <c:v>0.95551144502743635</c:v>
                </c:pt>
                <c:pt idx="27">
                  <c:v>0.99325177301028345</c:v>
                </c:pt>
                <c:pt idx="28">
                  <c:v>1.0296194171811581</c:v>
                </c:pt>
                <c:pt idx="29">
                  <c:v>1.0647107369924282</c:v>
                </c:pt>
                <c:pt idx="30">
                  <c:v>1.0986122886681098</c:v>
                </c:pt>
                <c:pt idx="31">
                  <c:v>1.1314021114911006</c:v>
                </c:pt>
                <c:pt idx="32">
                  <c:v>1.1631508098056809</c:v>
                </c:pt>
                <c:pt idx="33">
                  <c:v>1.1939224684724346</c:v>
                </c:pt>
                <c:pt idx="34">
                  <c:v>1.2237754316221157</c:v>
                </c:pt>
                <c:pt idx="35">
                  <c:v>1.2527629684953681</c:v>
                </c:pt>
                <c:pt idx="36">
                  <c:v>1.2809338454620642</c:v>
                </c:pt>
                <c:pt idx="37">
                  <c:v>1.3083328196501789</c:v>
                </c:pt>
                <c:pt idx="38">
                  <c:v>1.33500106673234</c:v>
                </c:pt>
                <c:pt idx="39">
                  <c:v>1.3609765531356006</c:v>
                </c:pt>
                <c:pt idx="40">
                  <c:v>1.3862943611198906</c:v>
                </c:pt>
                <c:pt idx="41">
                  <c:v>1.410986973710262</c:v>
                </c:pt>
                <c:pt idx="42">
                  <c:v>1.4350845252893227</c:v>
                </c:pt>
                <c:pt idx="43">
                  <c:v>1.4586150226995167</c:v>
                </c:pt>
                <c:pt idx="44">
                  <c:v>1.4816045409242156</c:v>
                </c:pt>
                <c:pt idx="45">
                  <c:v>1.5040773967762742</c:v>
                </c:pt>
                <c:pt idx="46">
                  <c:v>1.5260563034950492</c:v>
                </c:pt>
                <c:pt idx="47">
                  <c:v>1.547562508716013</c:v>
                </c:pt>
                <c:pt idx="48">
                  <c:v>1.5686159179138452</c:v>
                </c:pt>
                <c:pt idx="49">
                  <c:v>1.589235205116581</c:v>
                </c:pt>
                <c:pt idx="50">
                  <c:v>1.6094379124341003</c:v>
                </c:pt>
              </c:numCache>
            </c:numRef>
          </c:yVal>
          <c:smooth val="1"/>
        </c:ser>
        <c:axId val="103401728"/>
        <c:axId val="99983360"/>
      </c:scatterChart>
      <c:valAx>
        <c:axId val="103401728"/>
        <c:scaling>
          <c:orientation val="minMax"/>
        </c:scaling>
        <c:axPos val="b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99983360"/>
        <c:crossesAt val="-20"/>
        <c:crossBetween val="midCat"/>
      </c:valAx>
      <c:valAx>
        <c:axId val="99983360"/>
        <c:scaling>
          <c:orientation val="minMax"/>
        </c:scaling>
        <c:axPos val="l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numFmt formatCode="General" sourceLinked="1"/>
        <c:tickLblPos val="nextTo"/>
        <c:spPr>
          <a:ln w="12700">
            <a:solidFill>
              <a:schemeClr val="tx1"/>
            </a:solidFill>
          </a:ln>
        </c:spPr>
        <c:crossAx val="103401728"/>
        <c:crosses val="autoZero"/>
        <c:crossBetween val="midCat"/>
      </c:valAx>
    </c:plotArea>
    <c:legend>
      <c:legendPos val="r"/>
      <c:layout/>
    </c:legend>
    <c:plotVisOnly val="1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style val="4"/>
  <c:chart>
    <c:view3D>
      <c:perspective val="30"/>
    </c:view3D>
    <c:plotArea>
      <c:layout>
        <c:manualLayout>
          <c:layoutTarget val="inner"/>
          <c:xMode val="edge"/>
          <c:yMode val="edge"/>
          <c:x val="9.217535359945328E-2"/>
          <c:y val="2.3848926641363864E-2"/>
          <c:w val="0.84888771768180316"/>
          <c:h val="0.89778829223320511"/>
        </c:manualLayout>
      </c:layout>
      <c:surface3DChart>
        <c:ser>
          <c:idx val="0"/>
          <c:order val="0"/>
          <c:tx>
            <c:strRef>
              <c:f>Лист5!$C$2</c:f>
              <c:strCache>
                <c:ptCount val="1"/>
                <c:pt idx="0">
                  <c:v>-2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Лист5!$C$3:$C$53</c:f>
              <c:numCache>
                <c:formatCode>General</c:formatCode>
                <c:ptCount val="51"/>
                <c:pt idx="0">
                  <c:v>-51.566332626685934</c:v>
                </c:pt>
                <c:pt idx="1">
                  <c:v>-48.822343941934939</c:v>
                </c:pt>
                <c:pt idx="2">
                  <c:v>-46.106671623000352</c:v>
                </c:pt>
                <c:pt idx="3">
                  <c:v>-43.423856484854056</c:v>
                </c:pt>
                <c:pt idx="4">
                  <c:v>-40.778439342467856</c:v>
                </c:pt>
                <c:pt idx="5">
                  <c:v>-38.174961010813618</c:v>
                </c:pt>
                <c:pt idx="6">
                  <c:v>-35.617962304863198</c:v>
                </c:pt>
                <c:pt idx="7">
                  <c:v>-33.111984039588435</c:v>
                </c:pt>
                <c:pt idx="8">
                  <c:v>-30.661567029961184</c:v>
                </c:pt>
                <c:pt idx="9">
                  <c:v>-28.271252090953276</c:v>
                </c:pt>
                <c:pt idx="10">
                  <c:v>-25.945580037536573</c:v>
                </c:pt>
                <c:pt idx="11">
                  <c:v>-23.689091684682921</c:v>
                </c:pt>
                <c:pt idx="12">
                  <c:v>-21.506327847364162</c:v>
                </c:pt>
                <c:pt idx="13">
                  <c:v>-19.401829340552148</c:v>
                </c:pt>
                <c:pt idx="14">
                  <c:v>-17.380136979218729</c:v>
                </c:pt>
                <c:pt idx="15">
                  <c:v>-15.445791578335742</c:v>
                </c:pt>
                <c:pt idx="16">
                  <c:v>-13.603333952875044</c:v>
                </c:pt>
                <c:pt idx="17">
                  <c:v>-11.857304917808483</c:v>
                </c:pt>
                <c:pt idx="18">
                  <c:v>-10.2122452881079</c:v>
                </c:pt>
                <c:pt idx="19">
                  <c:v>-8.6726958787451487</c:v>
                </c:pt>
                <c:pt idx="20">
                  <c:v>-7.2431975046920716</c:v>
                </c:pt>
                <c:pt idx="21">
                  <c:v>-5.9282909809205204</c:v>
                </c:pt>
                <c:pt idx="22">
                  <c:v>-4.7325171224023421</c:v>
                </c:pt>
                <c:pt idx="23">
                  <c:v>-3.66041674410938</c:v>
                </c:pt>
                <c:pt idx="24">
                  <c:v>-2.7165306610134872</c:v>
                </c:pt>
                <c:pt idx="25">
                  <c:v>-1.9053996880865089</c:v>
                </c:pt>
                <c:pt idx="26">
                  <c:v>-1.2315646403002929</c:v>
                </c:pt>
                <c:pt idx="27">
                  <c:v>-0.69956633262668588</c:v>
                </c:pt>
                <c:pt idx="28">
                  <c:v>-0.31394558003753664</c:v>
                </c:pt>
                <c:pt idx="29">
                  <c:v>-7.9243197504692081E-2</c:v>
                </c:pt>
                <c:pt idx="30">
                  <c:v>0</c:v>
                </c:pt>
                <c:pt idx="31">
                  <c:v>-8.075680249530795E-2</c:v>
                </c:pt>
                <c:pt idx="32">
                  <c:v>-0.32605441996246348</c:v>
                </c:pt>
                <c:pt idx="33">
                  <c:v>-0.74043366737331406</c:v>
                </c:pt>
                <c:pt idx="34">
                  <c:v>-1.3284353596997076</c:v>
                </c:pt>
                <c:pt idx="35">
                  <c:v>-2.0946003119134908</c:v>
                </c:pt>
                <c:pt idx="36">
                  <c:v>-3.0434693389865126</c:v>
                </c:pt>
                <c:pt idx="37">
                  <c:v>-4.179583255890619</c:v>
                </c:pt>
                <c:pt idx="38">
                  <c:v>-5.5074828775976599</c:v>
                </c:pt>
                <c:pt idx="39">
                  <c:v>-7.0317090190794804</c:v>
                </c:pt>
                <c:pt idx="40">
                  <c:v>-8.7568024953079284</c:v>
                </c:pt>
                <c:pt idx="41">
                  <c:v>-10.687304121254854</c:v>
                </c:pt>
                <c:pt idx="42">
                  <c:v>-12.8277547118921</c:v>
                </c:pt>
                <c:pt idx="43">
                  <c:v>-15.18269508219152</c:v>
                </c:pt>
                <c:pt idx="44">
                  <c:v>-17.756666047124952</c:v>
                </c:pt>
                <c:pt idx="45">
                  <c:v>-20.554208421664256</c:v>
                </c:pt>
                <c:pt idx="46">
                  <c:v>-23.579863020781278</c:v>
                </c:pt>
                <c:pt idx="47">
                  <c:v>-26.838170659447847</c:v>
                </c:pt>
                <c:pt idx="48">
                  <c:v>-30.333672152635842</c:v>
                </c:pt>
                <c:pt idx="49">
                  <c:v>-34.070908315317077</c:v>
                </c:pt>
                <c:pt idx="50">
                  <c:v>-38.054419962463427</c:v>
                </c:pt>
              </c:numCache>
            </c:numRef>
          </c:val>
        </c:ser>
        <c:ser>
          <c:idx val="1"/>
          <c:order val="1"/>
          <c:tx>
            <c:strRef>
              <c:f>Лист5!$D$2</c:f>
              <c:strCache>
                <c:ptCount val="1"/>
                <c:pt idx="0">
                  <c:v>-1,8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Лист5!$D$3:$D$53</c:f>
              <c:numCache>
                <c:formatCode>General</c:formatCode>
                <c:ptCount val="51"/>
                <c:pt idx="0">
                  <c:v>-49.835287968882071</c:v>
                </c:pt>
                <c:pt idx="1">
                  <c:v>-46.650935047150554</c:v>
                </c:pt>
                <c:pt idx="2">
                  <c:v>-43.566126870107368</c:v>
                </c:pt>
                <c:pt idx="3">
                  <c:v>-40.581452929315034</c:v>
                </c:pt>
                <c:pt idx="4">
                  <c:v>-37.697502716335975</c:v>
                </c:pt>
                <c:pt idx="5">
                  <c:v>-34.914865722732678</c:v>
                </c:pt>
                <c:pt idx="6">
                  <c:v>-32.234131440067621</c:v>
                </c:pt>
                <c:pt idx="7">
                  <c:v>-29.655889359903263</c:v>
                </c:pt>
                <c:pt idx="8">
                  <c:v>-27.18072897380209</c:v>
                </c:pt>
                <c:pt idx="9">
                  <c:v>-24.809239773326553</c:v>
                </c:pt>
                <c:pt idx="10">
                  <c:v>-22.542011250039135</c:v>
                </c:pt>
                <c:pt idx="11">
                  <c:v>-20.379632895502301</c:v>
                </c:pt>
                <c:pt idx="12">
                  <c:v>-18.32269420127853</c:v>
                </c:pt>
                <c:pt idx="13">
                  <c:v>-16.371784658930281</c:v>
                </c:pt>
                <c:pt idx="14">
                  <c:v>-14.52749376002004</c:v>
                </c:pt>
                <c:pt idx="15">
                  <c:v>-12.790410996110261</c:v>
                </c:pt>
                <c:pt idx="16">
                  <c:v>-11.161125858763421</c:v>
                </c:pt>
                <c:pt idx="17">
                  <c:v>-9.640227839541998</c:v>
                </c:pt>
                <c:pt idx="18">
                  <c:v>-8.2283064300084519</c:v>
                </c:pt>
                <c:pt idx="19">
                  <c:v>-6.9259511217252623</c:v>
                </c:pt>
                <c:pt idx="20">
                  <c:v>-5.7337514062548918</c:v>
                </c:pt>
                <c:pt idx="21">
                  <c:v>-4.6522967751598161</c:v>
                </c:pt>
                <c:pt idx="22">
                  <c:v>-3.6821767200025053</c:v>
                </c:pt>
                <c:pt idx="23">
                  <c:v>-2.8239807323454276</c:v>
                </c:pt>
                <c:pt idx="24">
                  <c:v>-2.0782983037510565</c:v>
                </c:pt>
                <c:pt idx="25">
                  <c:v>-1.4457189257818617</c:v>
                </c:pt>
                <c:pt idx="26">
                  <c:v>-0.9268320900003133</c:v>
                </c:pt>
                <c:pt idx="27">
                  <c:v>-0.52222728796888207</c:v>
                </c:pt>
                <c:pt idx="28">
                  <c:v>-0.23249401125003921</c:v>
                </c:pt>
                <c:pt idx="29">
                  <c:v>-5.8221751406254907E-2</c:v>
                </c:pt>
                <c:pt idx="30">
                  <c:v>0</c:v>
                </c:pt>
                <c:pt idx="31">
                  <c:v>-5.8418248593745128E-2</c:v>
                </c:pt>
                <c:pt idx="32">
                  <c:v>-0.23406598874996093</c:v>
                </c:pt>
                <c:pt idx="33">
                  <c:v>-0.52753271203111796</c:v>
                </c:pt>
                <c:pt idx="34">
                  <c:v>-0.93940790999968726</c:v>
                </c:pt>
                <c:pt idx="35">
                  <c:v>-1.4702810742181387</c:v>
                </c:pt>
                <c:pt idx="36">
                  <c:v>-2.1207416962489436</c:v>
                </c:pt>
                <c:pt idx="37">
                  <c:v>-2.891379267654572</c:v>
                </c:pt>
                <c:pt idx="38">
                  <c:v>-3.782783279997497</c:v>
                </c:pt>
                <c:pt idx="39">
                  <c:v>-4.795543224840185</c:v>
                </c:pt>
                <c:pt idx="40">
                  <c:v>-5.9302485937451097</c:v>
                </c:pt>
                <c:pt idx="41">
                  <c:v>-7.1874888782747419</c:v>
                </c:pt>
                <c:pt idx="42">
                  <c:v>-8.5678535699915486</c:v>
                </c:pt>
                <c:pt idx="43">
                  <c:v>-10.071932160458006</c:v>
                </c:pt>
                <c:pt idx="44">
                  <c:v>-11.700314141236577</c:v>
                </c:pt>
                <c:pt idx="45">
                  <c:v>-13.453589003889743</c:v>
                </c:pt>
                <c:pt idx="46">
                  <c:v>-15.332346239979969</c:v>
                </c:pt>
                <c:pt idx="47">
                  <c:v>-17.337175341069717</c:v>
                </c:pt>
                <c:pt idx="48">
                  <c:v>-19.468665798721474</c:v>
                </c:pt>
                <c:pt idx="49">
                  <c:v>-21.727407104497704</c:v>
                </c:pt>
                <c:pt idx="50">
                  <c:v>-24.113988749960871</c:v>
                </c:pt>
              </c:numCache>
            </c:numRef>
          </c:val>
        </c:ser>
        <c:ser>
          <c:idx val="2"/>
          <c:order val="2"/>
          <c:tx>
            <c:strRef>
              <c:f>Лист5!$E$2</c:f>
              <c:strCache>
                <c:ptCount val="1"/>
                <c:pt idx="0">
                  <c:v>-1,6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Лист5!$E$3:$E$53</c:f>
              <c:numCache>
                <c:formatCode>General</c:formatCode>
                <c:ptCount val="51"/>
                <c:pt idx="0">
                  <c:v>-51.696596783532421</c:v>
                </c:pt>
                <c:pt idx="1">
                  <c:v>-47.845589739021193</c:v>
                </c:pt>
                <c:pt idx="2">
                  <c:v>-44.172090540448281</c:v>
                </c:pt>
                <c:pt idx="3">
                  <c:v>-40.672803055195139</c:v>
                </c:pt>
                <c:pt idx="4">
                  <c:v>-37.344431150643182</c:v>
                </c:pt>
                <c:pt idx="5">
                  <c:v>-34.18367869417385</c:v>
                </c:pt>
                <c:pt idx="6">
                  <c:v>-31.187249553168598</c:v>
                </c:pt>
                <c:pt idx="7">
                  <c:v>-28.351847595008845</c:v>
                </c:pt>
                <c:pt idx="8">
                  <c:v>-25.674176687076052</c:v>
                </c:pt>
                <c:pt idx="9">
                  <c:v>-23.150940696751622</c:v>
                </c:pt>
                <c:pt idx="10">
                  <c:v>-20.778843491417014</c:v>
                </c:pt>
                <c:pt idx="11">
                  <c:v>-18.554588938453662</c:v>
                </c:pt>
                <c:pt idx="12">
                  <c:v>-16.474880905243005</c:v>
                </c:pt>
                <c:pt idx="13">
                  <c:v>-14.536423259166472</c:v>
                </c:pt>
                <c:pt idx="14">
                  <c:v>-12.735919867605514</c:v>
                </c:pt>
                <c:pt idx="15">
                  <c:v>-11.070074597941554</c:v>
                </c:pt>
                <c:pt idx="16">
                  <c:v>-9.535591317556035</c:v>
                </c:pt>
                <c:pt idx="17">
                  <c:v>-8.1291738938303979</c:v>
                </c:pt>
                <c:pt idx="18">
                  <c:v>-6.8475261941460754</c:v>
                </c:pt>
                <c:pt idx="19">
                  <c:v>-5.6873520858845072</c:v>
                </c:pt>
                <c:pt idx="20">
                  <c:v>-4.6453554364271277</c:v>
                </c:pt>
                <c:pt idx="21">
                  <c:v>-3.7182401131553764</c:v>
                </c:pt>
                <c:pt idx="22">
                  <c:v>-2.90270998345069</c:v>
                </c:pt>
                <c:pt idx="23">
                  <c:v>-2.1954689146945046</c:v>
                </c:pt>
                <c:pt idx="24">
                  <c:v>-1.5932207742682596</c:v>
                </c:pt>
                <c:pt idx="25">
                  <c:v>-1.092669429553391</c:v>
                </c:pt>
                <c:pt idx="26">
                  <c:v>-0.69051874793133639</c:v>
                </c:pt>
                <c:pt idx="27">
                  <c:v>-0.38347259678353252</c:v>
                </c:pt>
                <c:pt idx="28">
                  <c:v>-0.16823484349141707</c:v>
                </c:pt>
                <c:pt idx="29">
                  <c:v>-4.1509355436427142E-2</c:v>
                </c:pt>
                <c:pt idx="30">
                  <c:v>0</c:v>
                </c:pt>
                <c:pt idx="31">
                  <c:v>-4.0410644563572892E-2</c:v>
                </c:pt>
                <c:pt idx="32">
                  <c:v>-0.15944515650858307</c:v>
                </c:pt>
                <c:pt idx="33">
                  <c:v>-0.35380740321646764</c:v>
                </c:pt>
                <c:pt idx="34">
                  <c:v>-0.62020125206866417</c:v>
                </c:pt>
                <c:pt idx="35">
                  <c:v>-0.95533057044660952</c:v>
                </c:pt>
                <c:pt idx="36">
                  <c:v>-1.355899225731741</c:v>
                </c:pt>
                <c:pt idx="37">
                  <c:v>-1.8186110853054962</c:v>
                </c:pt>
                <c:pt idx="38">
                  <c:v>-2.3401700165493122</c:v>
                </c:pt>
                <c:pt idx="39">
                  <c:v>-2.9172798868446259</c:v>
                </c:pt>
                <c:pt idx="40">
                  <c:v>-3.5466445635728747</c:v>
                </c:pt>
                <c:pt idx="41">
                  <c:v>-4.2249679141154974</c:v>
                </c:pt>
                <c:pt idx="42">
                  <c:v>-4.9489538058539271</c:v>
                </c:pt>
                <c:pt idx="43">
                  <c:v>-5.7153061061696055</c:v>
                </c:pt>
                <c:pt idx="44">
                  <c:v>-6.5207286824439672</c:v>
                </c:pt>
                <c:pt idx="45">
                  <c:v>-7.3619254020584517</c:v>
                </c:pt>
                <c:pt idx="46">
                  <c:v>-8.2356001323944952</c:v>
                </c:pt>
                <c:pt idx="47">
                  <c:v>-9.1384567408335293</c:v>
                </c:pt>
                <c:pt idx="48">
                  <c:v>-10.067199094757004</c:v>
                </c:pt>
                <c:pt idx="49">
                  <c:v>-11.018531061546344</c:v>
                </c:pt>
                <c:pt idx="50">
                  <c:v>-11.989156508582994</c:v>
                </c:pt>
              </c:numCache>
            </c:numRef>
          </c:val>
        </c:ser>
        <c:ser>
          <c:idx val="3"/>
          <c:order val="3"/>
          <c:tx>
            <c:strRef>
              <c:f>Лист5!$F$2</c:f>
              <c:strCache>
                <c:ptCount val="1"/>
                <c:pt idx="0">
                  <c:v>-1,4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Лист5!$F$3:$F$53</c:f>
              <c:numCache>
                <c:formatCode>General</c:formatCode>
                <c:ptCount val="51"/>
                <c:pt idx="0">
                  <c:v>-49.676711061280542</c:v>
                </c:pt>
                <c:pt idx="1">
                  <c:v>-45.642023780502626</c:v>
                </c:pt>
                <c:pt idx="2">
                  <c:v>-41.82320330434186</c:v>
                </c:pt>
                <c:pt idx="3">
                  <c:v>-38.21469836367352</c:v>
                </c:pt>
                <c:pt idx="4">
                  <c:v>-34.810957689372849</c:v>
                </c:pt>
                <c:pt idx="5">
                  <c:v>-31.606430012315126</c:v>
                </c:pt>
                <c:pt idx="6">
                  <c:v>-28.595564063375633</c:v>
                </c:pt>
                <c:pt idx="7">
                  <c:v>-25.772808573429636</c:v>
                </c:pt>
                <c:pt idx="8">
                  <c:v>-23.132612273352418</c:v>
                </c:pt>
                <c:pt idx="9">
                  <c:v>-20.669423894019225</c:v>
                </c:pt>
                <c:pt idx="10">
                  <c:v>-18.377692166305344</c:v>
                </c:pt>
                <c:pt idx="11">
                  <c:v>-16.251865821086042</c:v>
                </c:pt>
                <c:pt idx="12">
                  <c:v>-14.286393589236598</c:v>
                </c:pt>
                <c:pt idx="13">
                  <c:v>-12.475724201632268</c:v>
                </c:pt>
                <c:pt idx="14">
                  <c:v>-10.814306389148339</c:v>
                </c:pt>
                <c:pt idx="15">
                  <c:v>-9.2965888826600676</c:v>
                </c:pt>
                <c:pt idx="16">
                  <c:v>-7.9170204130427315</c:v>
                </c:pt>
                <c:pt idx="17">
                  <c:v>-6.6700497111716057</c:v>
                </c:pt>
                <c:pt idx="18">
                  <c:v>-5.5501255079219538</c:v>
                </c:pt>
                <c:pt idx="19">
                  <c:v>-4.5516965341690518</c:v>
                </c:pt>
                <c:pt idx="20">
                  <c:v>-3.6692115207881679</c:v>
                </c:pt>
                <c:pt idx="21">
                  <c:v>-2.8971191986545746</c:v>
                </c:pt>
                <c:pt idx="22">
                  <c:v>-2.2298682986435421</c:v>
                </c:pt>
                <c:pt idx="23">
                  <c:v>-1.6619075516303412</c:v>
                </c:pt>
                <c:pt idx="24">
                  <c:v>-1.187685688490244</c:v>
                </c:pt>
                <c:pt idx="25">
                  <c:v>-0.80165144009852085</c:v>
                </c:pt>
                <c:pt idx="26">
                  <c:v>-0.49825353733044275</c:v>
                </c:pt>
                <c:pt idx="27">
                  <c:v>-0.27194071106128048</c:v>
                </c:pt>
                <c:pt idx="28">
                  <c:v>-0.11716169216630534</c:v>
                </c:pt>
                <c:pt idx="29">
                  <c:v>-2.8365211520788167E-2</c:v>
                </c:pt>
                <c:pt idx="30">
                  <c:v>0</c:v>
                </c:pt>
                <c:pt idx="31">
                  <c:v>-2.6514788479211831E-2</c:v>
                </c:pt>
                <c:pt idx="32">
                  <c:v>-0.10235830783369465</c:v>
                </c:pt>
                <c:pt idx="33">
                  <c:v>-0.22197928893871938</c:v>
                </c:pt>
                <c:pt idx="34">
                  <c:v>-0.37982646266955722</c:v>
                </c:pt>
                <c:pt idx="35">
                  <c:v>-0.57034855990147881</c:v>
                </c:pt>
                <c:pt idx="36">
                  <c:v>-0.78799431150975541</c:v>
                </c:pt>
                <c:pt idx="37">
                  <c:v>-1.0272124483696579</c:v>
                </c:pt>
                <c:pt idx="38">
                  <c:v>-1.2824517013564576</c:v>
                </c:pt>
                <c:pt idx="39">
                  <c:v>-1.5481608013454249</c:v>
                </c:pt>
                <c:pt idx="40">
                  <c:v>-1.818788479211831</c:v>
                </c:pt>
                <c:pt idx="41">
                  <c:v>-2.0887834658309474</c:v>
                </c:pt>
                <c:pt idx="42">
                  <c:v>-2.3525944920780439</c:v>
                </c:pt>
                <c:pt idx="43">
                  <c:v>-2.6046702888283928</c:v>
                </c:pt>
                <c:pt idx="44">
                  <c:v>-2.8394595869572647</c:v>
                </c:pt>
                <c:pt idx="45">
                  <c:v>-3.0514111173399305</c:v>
                </c:pt>
                <c:pt idx="46">
                  <c:v>-3.2349736108516614</c:v>
                </c:pt>
                <c:pt idx="47">
                  <c:v>-3.3845957983677266</c:v>
                </c:pt>
                <c:pt idx="48">
                  <c:v>-3.4947264107634002</c:v>
                </c:pt>
                <c:pt idx="49">
                  <c:v>-3.5598141789139515</c:v>
                </c:pt>
                <c:pt idx="50">
                  <c:v>-3.5743078336946503</c:v>
                </c:pt>
              </c:numCache>
            </c:numRef>
          </c:val>
        </c:ser>
        <c:ser>
          <c:idx val="4"/>
          <c:order val="4"/>
          <c:tx>
            <c:strRef>
              <c:f>Лист5!$G$2</c:f>
              <c:strCache>
                <c:ptCount val="1"/>
                <c:pt idx="0">
                  <c:v>-1,2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Лист5!$G$3:$G$53</c:f>
              <c:numCache>
                <c:formatCode>General</c:formatCode>
                <c:ptCount val="51"/>
                <c:pt idx="0">
                  <c:v>-42.32137540117553</c:v>
                </c:pt>
                <c:pt idx="1">
                  <c:v>-38.713157654047038</c:v>
                </c:pt>
                <c:pt idx="2">
                  <c:v>-35.31201365950389</c:v>
                </c:pt>
                <c:pt idx="3">
                  <c:v>-32.111994667456969</c:v>
                </c:pt>
                <c:pt idx="4">
                  <c:v>-29.107151927817085</c:v>
                </c:pt>
                <c:pt idx="5">
                  <c:v>-26.2915366904951</c:v>
                </c:pt>
                <c:pt idx="6">
                  <c:v>-23.659200205401874</c:v>
                </c:pt>
                <c:pt idx="7">
                  <c:v>-21.204193722448245</c:v>
                </c:pt>
                <c:pt idx="8">
                  <c:v>-18.920568491545083</c:v>
                </c:pt>
                <c:pt idx="9">
                  <c:v>-16.802375762603212</c:v>
                </c:pt>
                <c:pt idx="10">
                  <c:v>-14.843666785533491</c:v>
                </c:pt>
                <c:pt idx="11">
                  <c:v>-13.038492810246776</c:v>
                </c:pt>
                <c:pt idx="12">
                  <c:v>-11.380905086653916</c:v>
                </c:pt>
                <c:pt idx="13">
                  <c:v>-9.864954864665755</c:v>
                </c:pt>
                <c:pt idx="14">
                  <c:v>-8.4846933941931493</c:v>
                </c:pt>
                <c:pt idx="15">
                  <c:v>-7.2341719251469421</c:v>
                </c:pt>
                <c:pt idx="16">
                  <c:v>-6.107441707437987</c:v>
                </c:pt>
                <c:pt idx="17">
                  <c:v>-5.0985539909771358</c:v>
                </c:pt>
                <c:pt idx="18">
                  <c:v>-4.2015600256752341</c:v>
                </c:pt>
                <c:pt idx="19">
                  <c:v>-3.4105110614431355</c:v>
                </c:pt>
                <c:pt idx="20">
                  <c:v>-2.7194583481916865</c:v>
                </c:pt>
                <c:pt idx="21">
                  <c:v>-2.1224531358317398</c:v>
                </c:pt>
                <c:pt idx="22">
                  <c:v>-1.6135466742741438</c:v>
                </c:pt>
                <c:pt idx="23">
                  <c:v>-1.1867902134297483</c:v>
                </c:pt>
                <c:pt idx="24">
                  <c:v>-0.83623500320940425</c:v>
                </c:pt>
                <c:pt idx="25">
                  <c:v>-0.55593229352396079</c:v>
                </c:pt>
                <c:pt idx="26">
                  <c:v>-0.33993333428426797</c:v>
                </c:pt>
                <c:pt idx="27">
                  <c:v>-0.18228937540117551</c:v>
                </c:pt>
                <c:pt idx="28">
                  <c:v>-7.7051666785533504E-2</c:v>
                </c:pt>
                <c:pt idx="29">
                  <c:v>-1.8271458348191692E-2</c:v>
                </c:pt>
                <c:pt idx="30">
                  <c:v>0</c:v>
                </c:pt>
                <c:pt idx="31">
                  <c:v>-1.6288541651808316E-2</c:v>
                </c:pt>
                <c:pt idx="32">
                  <c:v>-6.1188333214466525E-2</c:v>
                </c:pt>
                <c:pt idx="33">
                  <c:v>-0.12875062459882447</c:v>
                </c:pt>
                <c:pt idx="34">
                  <c:v>-0.21302666571573212</c:v>
                </c:pt>
                <c:pt idx="35">
                  <c:v>-0.3080677064760392</c:v>
                </c:pt>
                <c:pt idx="36">
                  <c:v>-0.40792499679059568</c:v>
                </c:pt>
                <c:pt idx="37">
                  <c:v>-0.5066497865702515</c:v>
                </c:pt>
                <c:pt idx="38">
                  <c:v>-0.5982933257258567</c:v>
                </c:pt>
                <c:pt idx="39">
                  <c:v>-0.67690686416826051</c:v>
                </c:pt>
                <c:pt idx="40">
                  <c:v>-0.73654165180831355</c:v>
                </c:pt>
                <c:pt idx="41">
                  <c:v>-0.77124893855686527</c:v>
                </c:pt>
                <c:pt idx="42">
                  <c:v>-0.77507997432476583</c:v>
                </c:pt>
                <c:pt idx="43">
                  <c:v>-0.7420860090228647</c:v>
                </c:pt>
                <c:pt idx="44">
                  <c:v>-0.6663182925620128</c:v>
                </c:pt>
                <c:pt idx="45">
                  <c:v>-0.54182807485305817</c:v>
                </c:pt>
                <c:pt idx="46">
                  <c:v>-0.36266660580685262</c:v>
                </c:pt>
                <c:pt idx="47">
                  <c:v>-0.12288513533424439</c:v>
                </c:pt>
                <c:pt idx="48">
                  <c:v>0.18346508665391603</c:v>
                </c:pt>
                <c:pt idx="49">
                  <c:v>0.56233281024677595</c:v>
                </c:pt>
                <c:pt idx="50">
                  <c:v>1.0196667855334915</c:v>
                </c:pt>
              </c:numCache>
            </c:numRef>
          </c:val>
        </c:ser>
        <c:ser>
          <c:idx val="5"/>
          <c:order val="5"/>
          <c:tx>
            <c:strRef>
              <c:f>Лист5!$H$2</c:f>
              <c:strCache>
                <c:ptCount val="1"/>
                <c:pt idx="0">
                  <c:v>-1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Лист5!$H$3:$H$53</c:f>
              <c:numCache>
                <c:formatCode>General</c:formatCode>
                <c:ptCount val="51"/>
                <c:pt idx="0">
                  <c:v>-31.719716589813206</c:v>
                </c:pt>
                <c:pt idx="1">
                  <c:v>-28.932635848479787</c:v>
                </c:pt>
                <c:pt idx="2">
                  <c:v>-26.311971058502941</c:v>
                </c:pt>
                <c:pt idx="3">
                  <c:v>-23.852673393973831</c:v>
                </c:pt>
                <c:pt idx="4">
                  <c:v>-21.549694028983595</c:v>
                </c:pt>
                <c:pt idx="5">
                  <c:v>-19.397984137623382</c:v>
                </c:pt>
                <c:pt idx="6">
                  <c:v>-17.392494893984363</c:v>
                </c:pt>
                <c:pt idx="7">
                  <c:v>-15.528177472157672</c:v>
                </c:pt>
                <c:pt idx="8">
                  <c:v>-13.799983046234484</c:v>
                </c:pt>
                <c:pt idx="9">
                  <c:v>-12.202862790305931</c:v>
                </c:pt>
                <c:pt idx="10">
                  <c:v>-10.731767878463172</c:v>
                </c:pt>
                <c:pt idx="11">
                  <c:v>-9.3816494847973608</c:v>
                </c:pt>
                <c:pt idx="12">
                  <c:v>-8.147458783399653</c:v>
                </c:pt>
                <c:pt idx="13">
                  <c:v>-7.0241469483611949</c:v>
                </c:pt>
                <c:pt idx="14">
                  <c:v>-6.0066651537731452</c:v>
                </c:pt>
                <c:pt idx="15">
                  <c:v>-5.0899645737266503</c:v>
                </c:pt>
                <c:pt idx="16">
                  <c:v>-4.2689963823128672</c:v>
                </c:pt>
                <c:pt idx="17">
                  <c:v>-3.5387117536229491</c:v>
                </c:pt>
                <c:pt idx="18">
                  <c:v>-2.8940618617480451</c:v>
                </c:pt>
                <c:pt idx="19">
                  <c:v>-2.3299978807793105</c:v>
                </c:pt>
                <c:pt idx="20">
                  <c:v>-1.8414709848078965</c:v>
                </c:pt>
                <c:pt idx="21">
                  <c:v>-1.4234323479249567</c:v>
                </c:pt>
                <c:pt idx="22">
                  <c:v>-1.0708331442216432</c:v>
                </c:pt>
                <c:pt idx="23">
                  <c:v>-0.77862454778910839</c:v>
                </c:pt>
                <c:pt idx="24">
                  <c:v>-0.54175773271850569</c:v>
                </c:pt>
                <c:pt idx="25">
                  <c:v>-0.35518387310098709</c:v>
                </c:pt>
                <c:pt idx="26">
                  <c:v>-0.21385414302770542</c:v>
                </c:pt>
                <c:pt idx="27">
                  <c:v>-0.1127197165898132</c:v>
                </c:pt>
                <c:pt idx="28">
                  <c:v>-4.6731767878463185E-2</c:v>
                </c:pt>
                <c:pt idx="29">
                  <c:v>-1.0841470984807899E-2</c:v>
                </c:pt>
                <c:pt idx="30">
                  <c:v>0</c:v>
                </c:pt>
                <c:pt idx="31">
                  <c:v>-9.1585290151921048E-3</c:v>
                </c:pt>
                <c:pt idx="32">
                  <c:v>-3.3268232121536831E-2</c:v>
                </c:pt>
                <c:pt idx="33">
                  <c:v>-6.7280283410186797E-2</c:v>
                </c:pt>
                <c:pt idx="34">
                  <c:v>-0.10614585697229464</c:v>
                </c:pt>
                <c:pt idx="35">
                  <c:v>-0.14481612689901294</c:v>
                </c:pt>
                <c:pt idx="36">
                  <c:v>-0.17824226728149434</c:v>
                </c:pt>
                <c:pt idx="37">
                  <c:v>-0.20137545221089148</c:v>
                </c:pt>
                <c:pt idx="38">
                  <c:v>-0.20916685577835703</c:v>
                </c:pt>
                <c:pt idx="39">
                  <c:v>-0.19656765207504345</c:v>
                </c:pt>
                <c:pt idx="40">
                  <c:v>-0.1585290151921035</c:v>
                </c:pt>
                <c:pt idx="41">
                  <c:v>-9.000211922068968E-2</c:v>
                </c:pt>
                <c:pt idx="42">
                  <c:v>1.4061861748045246E-2</c:v>
                </c:pt>
                <c:pt idx="43">
                  <c:v>0.15871175362294898</c:v>
                </c:pt>
                <c:pt idx="44">
                  <c:v>0.34899638231286789</c:v>
                </c:pt>
                <c:pt idx="45">
                  <c:v>0.58996457372665079</c:v>
                </c:pt>
                <c:pt idx="46">
                  <c:v>0.88666515377314425</c:v>
                </c:pt>
                <c:pt idx="47">
                  <c:v>1.2441469483611955</c:v>
                </c:pt>
                <c:pt idx="48">
                  <c:v>1.6674587833996526</c:v>
                </c:pt>
                <c:pt idx="49">
                  <c:v>2.1616494847973615</c:v>
                </c:pt>
                <c:pt idx="50">
                  <c:v>2.731767878463172</c:v>
                </c:pt>
              </c:numCache>
            </c:numRef>
          </c:val>
        </c:ser>
        <c:ser>
          <c:idx val="6"/>
          <c:order val="6"/>
          <c:tx>
            <c:strRef>
              <c:f>Лист5!$I$2</c:f>
              <c:strCache>
                <c:ptCount val="1"/>
                <c:pt idx="0">
                  <c:v>-0,8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Лист5!$I$3:$I$53</c:f>
              <c:numCache>
                <c:formatCode>General</c:formatCode>
                <c:ptCount val="51"/>
                <c:pt idx="0">
                  <c:v>-20.732276916784588</c:v>
                </c:pt>
                <c:pt idx="1">
                  <c:v>-18.870919619387383</c:v>
                </c:pt>
                <c:pt idx="2">
                  <c:v>-17.12371432878723</c:v>
                </c:pt>
                <c:pt idx="3">
                  <c:v>-15.487077872335966</c:v>
                </c:pt>
                <c:pt idx="4">
                  <c:v>-13.957427077385407</c:v>
                </c:pt>
                <c:pt idx="5">
                  <c:v>-12.531178771287378</c:v>
                </c:pt>
                <c:pt idx="6">
                  <c:v>-11.204749781393708</c:v>
                </c:pt>
                <c:pt idx="7">
                  <c:v>-9.9745569350562224</c:v>
                </c:pt>
                <c:pt idx="8">
                  <c:v>-8.8370170596267545</c:v>
                </c:pt>
                <c:pt idx="9">
                  <c:v>-7.788546982457115</c:v>
                </c:pt>
                <c:pt idx="10">
                  <c:v>-6.8255635308991369</c:v>
                </c:pt>
                <c:pt idx="11">
                  <c:v>-5.9444835323046474</c:v>
                </c:pt>
                <c:pt idx="12">
                  <c:v>-5.1417238140254717</c:v>
                </c:pt>
                <c:pt idx="13">
                  <c:v>-4.4137012034134315</c:v>
                </c:pt>
                <c:pt idx="14">
                  <c:v>-3.7568325278203591</c:v>
                </c:pt>
                <c:pt idx="15">
                  <c:v>-3.1675346145980736</c:v>
                </c:pt>
                <c:pt idx="16">
                  <c:v>-2.6422242910984037</c:v>
                </c:pt>
                <c:pt idx="17">
                  <c:v>-2.1773183846731761</c:v>
                </c:pt>
                <c:pt idx="18">
                  <c:v>-1.7692337226742136</c:v>
                </c:pt>
                <c:pt idx="19">
                  <c:v>-1.4143871324533444</c:v>
                </c:pt>
                <c:pt idx="20">
                  <c:v>-1.1091954413623921</c:v>
                </c:pt>
                <c:pt idx="21">
                  <c:v>-0.85007547675318407</c:v>
                </c:pt>
                <c:pt idx="22">
                  <c:v>-0.63344406597754499</c:v>
                </c:pt>
                <c:pt idx="23">
                  <c:v>-0.45571803638730046</c:v>
                </c:pt>
                <c:pt idx="24">
                  <c:v>-0.31331421533427672</c:v>
                </c:pt>
                <c:pt idx="25">
                  <c:v>-0.20264943017029904</c:v>
                </c:pt>
                <c:pt idx="26">
                  <c:v>-0.12014050824719313</c:v>
                </c:pt>
                <c:pt idx="27">
                  <c:v>-6.2204276916784595E-2</c:v>
                </c:pt>
                <c:pt idx="28">
                  <c:v>-2.5257563530899148E-2</c:v>
                </c:pt>
                <c:pt idx="29">
                  <c:v>-5.7171954413623941E-3</c:v>
                </c:pt>
                <c:pt idx="30">
                  <c:v>0</c:v>
                </c:pt>
                <c:pt idx="31">
                  <c:v>-4.5228045586376102E-3</c:v>
                </c:pt>
                <c:pt idx="32">
                  <c:v>-1.5702436469100869E-2</c:v>
                </c:pt>
                <c:pt idx="33">
                  <c:v>-2.9955723083215424E-2</c:v>
                </c:pt>
                <c:pt idx="34">
                  <c:v>-4.3699491752806928E-2</c:v>
                </c:pt>
                <c:pt idx="35">
                  <c:v>-5.3350569829701017E-2</c:v>
                </c:pt>
                <c:pt idx="36">
                  <c:v>-5.5325784665723354E-2</c:v>
                </c:pt>
                <c:pt idx="37">
                  <c:v>-4.6041963612699605E-2</c:v>
                </c:pt>
                <c:pt idx="38">
                  <c:v>-2.1915934022455286E-2</c:v>
                </c:pt>
                <c:pt idx="39">
                  <c:v>2.0635476753183779E-2</c:v>
                </c:pt>
                <c:pt idx="40">
                  <c:v>8.5195441362391988E-2</c:v>
                </c:pt>
                <c:pt idx="41">
                  <c:v>0.17534713245334388</c:v>
                </c:pt>
                <c:pt idx="42">
                  <c:v>0.29467372267421332</c:v>
                </c:pt>
                <c:pt idx="43">
                  <c:v>0.44675838467317552</c:v>
                </c:pt>
                <c:pt idx="44">
                  <c:v>0.63518429109840335</c:v>
                </c:pt>
                <c:pt idx="45">
                  <c:v>0.86353461459807312</c:v>
                </c:pt>
                <c:pt idx="46">
                  <c:v>1.1353925278203583</c:v>
                </c:pt>
                <c:pt idx="47">
                  <c:v>1.4543412034134318</c:v>
                </c:pt>
                <c:pt idx="48">
                  <c:v>1.8239638140254708</c:v>
                </c:pt>
                <c:pt idx="49">
                  <c:v>2.2478435323046471</c:v>
                </c:pt>
                <c:pt idx="50">
                  <c:v>2.7295635308991364</c:v>
                </c:pt>
              </c:numCache>
            </c:numRef>
          </c:val>
        </c:ser>
        <c:ser>
          <c:idx val="7"/>
          <c:order val="7"/>
          <c:tx>
            <c:strRef>
              <c:f>Лист5!$J$2</c:f>
              <c:strCache>
                <c:ptCount val="1"/>
                <c:pt idx="0">
                  <c:v>-0,6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Лист5!$J$3:$J$53</c:f>
              <c:numCache>
                <c:formatCode>General</c:formatCode>
                <c:ptCount val="51"/>
                <c:pt idx="0">
                  <c:v>-11.455404298427428</c:v>
                </c:pt>
                <c:pt idx="1">
                  <c:v>-10.408176275346168</c:v>
                </c:pt>
                <c:pt idx="2">
                  <c:v>-9.4265639688547722</c:v>
                </c:pt>
                <c:pt idx="3">
                  <c:v>-8.5084537335535959</c:v>
                </c:pt>
                <c:pt idx="4">
                  <c:v>-7.6517319240429824</c:v>
                </c:pt>
                <c:pt idx="5">
                  <c:v>-6.8542848949232802</c:v>
                </c:pt>
                <c:pt idx="6">
                  <c:v>-6.113999000794843</c:v>
                </c:pt>
                <c:pt idx="7">
                  <c:v>-5.4287605962580185</c:v>
                </c:pt>
                <c:pt idx="8">
                  <c:v>-4.7964560359131596</c:v>
                </c:pt>
                <c:pt idx="9">
                  <c:v>-4.2149716743606085</c:v>
                </c:pt>
                <c:pt idx="10">
                  <c:v>-3.6821938662007194</c:v>
                </c:pt>
                <c:pt idx="11">
                  <c:v>-3.1960089660338418</c:v>
                </c:pt>
                <c:pt idx="12">
                  <c:v>-2.7543033284603249</c:v>
                </c:pt>
                <c:pt idx="13">
                  <c:v>-2.3549633080805163</c:v>
                </c:pt>
                <c:pt idx="14">
                  <c:v>-1.9958752594947688</c:v>
                </c:pt>
                <c:pt idx="15">
                  <c:v>-1.6749255373034286</c:v>
                </c:pt>
                <c:pt idx="16">
                  <c:v>-1.3900004961068464</c:v>
                </c:pt>
                <c:pt idx="17">
                  <c:v>-1.1389864905053728</c:v>
                </c:pt>
                <c:pt idx="18">
                  <c:v>-0.91976987509935537</c:v>
                </c:pt>
                <c:pt idx="19">
                  <c:v>-0.73023700448914486</c:v>
                </c:pt>
                <c:pt idx="20">
                  <c:v>-0.56827423327508997</c:v>
                </c:pt>
                <c:pt idx="21">
                  <c:v>-0.43176791605754061</c:v>
                </c:pt>
                <c:pt idx="22">
                  <c:v>-0.31860440743684615</c:v>
                </c:pt>
                <c:pt idx="23">
                  <c:v>-0.22667006201335582</c:v>
                </c:pt>
                <c:pt idx="24">
                  <c:v>-0.15385123438741943</c:v>
                </c:pt>
                <c:pt idx="25">
                  <c:v>-9.8034279159386242E-2</c:v>
                </c:pt>
                <c:pt idx="26">
                  <c:v>-5.7105550929605772E-2</c:v>
                </c:pt>
                <c:pt idx="27">
                  <c:v>-2.8951404298427429E-2</c:v>
                </c:pt>
                <c:pt idx="28">
                  <c:v>-1.1458193866200722E-2</c:v>
                </c:pt>
                <c:pt idx="29">
                  <c:v>-2.5122742332750903E-3</c:v>
                </c:pt>
                <c:pt idx="30">
                  <c:v>0</c:v>
                </c:pt>
                <c:pt idx="31">
                  <c:v>-1.8077257667249104E-3</c:v>
                </c:pt>
                <c:pt idx="32">
                  <c:v>-5.8218061337992812E-3</c:v>
                </c:pt>
                <c:pt idx="33">
                  <c:v>-9.928595701572571E-3</c:v>
                </c:pt>
                <c:pt idx="34">
                  <c:v>-1.2014449070394246E-2</c:v>
                </c:pt>
                <c:pt idx="35">
                  <c:v>-9.9657208406137565E-3</c:v>
                </c:pt>
                <c:pt idx="36">
                  <c:v>-1.6687656125805722E-3</c:v>
                </c:pt>
                <c:pt idx="37">
                  <c:v>1.4990062013355829E-2</c:v>
                </c:pt>
                <c:pt idx="38">
                  <c:v>4.2124407436846062E-2</c:v>
                </c:pt>
                <c:pt idx="39">
                  <c:v>8.1847916057540604E-2</c:v>
                </c:pt>
                <c:pt idx="40">
                  <c:v>0.13627423327508995</c:v>
                </c:pt>
                <c:pt idx="41">
                  <c:v>0.20751700448914484</c:v>
                </c:pt>
                <c:pt idx="42">
                  <c:v>0.29768987509935541</c:v>
                </c:pt>
                <c:pt idx="43">
                  <c:v>0.40890649050537275</c:v>
                </c:pt>
                <c:pt idx="44">
                  <c:v>0.54328049610684659</c:v>
                </c:pt>
                <c:pt idx="45">
                  <c:v>0.70292553730342866</c:v>
                </c:pt>
                <c:pt idx="46">
                  <c:v>0.88995525949476861</c:v>
                </c:pt>
                <c:pt idx="47">
                  <c:v>1.1064833080805168</c:v>
                </c:pt>
                <c:pt idx="48">
                  <c:v>1.3546233284603248</c:v>
                </c:pt>
                <c:pt idx="49">
                  <c:v>1.6364889660338418</c:v>
                </c:pt>
                <c:pt idx="50">
                  <c:v>1.9541938662007197</c:v>
                </c:pt>
              </c:numCache>
            </c:numRef>
          </c:val>
        </c:ser>
        <c:ser>
          <c:idx val="8"/>
          <c:order val="8"/>
          <c:tx>
            <c:strRef>
              <c:f>Лист5!$K$2</c:f>
              <c:strCache>
                <c:ptCount val="1"/>
                <c:pt idx="0">
                  <c:v>-0,4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Лист5!$K$3:$K$53</c:f>
              <c:numCache>
                <c:formatCode>General</c:formatCode>
                <c:ptCount val="51"/>
                <c:pt idx="0">
                  <c:v>-4.8775915785846422</c:v>
                </c:pt>
                <c:pt idx="1">
                  <c:v>-4.4238517411148459</c:v>
                </c:pt>
                <c:pt idx="2">
                  <c:v>-3.9991132715959274</c:v>
                </c:pt>
                <c:pt idx="3">
                  <c:v>-3.6024202607882048</c:v>
                </c:pt>
                <c:pt idx="4">
                  <c:v>-3.2328167994519887</c:v>
                </c:pt>
                <c:pt idx="5">
                  <c:v>-2.8893469783475938</c:v>
                </c:pt>
                <c:pt idx="6">
                  <c:v>-2.571054888235337</c:v>
                </c:pt>
                <c:pt idx="7">
                  <c:v>-2.2769846198755306</c:v>
                </c:pt>
                <c:pt idx="8">
                  <c:v>-2.006180264028492</c:v>
                </c:pt>
                <c:pt idx="9">
                  <c:v>-1.7576859114545325</c:v>
                </c:pt>
                <c:pt idx="10">
                  <c:v>-1.530545652913968</c:v>
                </c:pt>
                <c:pt idx="11">
                  <c:v>-1.3238035791671134</c:v>
                </c:pt>
                <c:pt idx="12">
                  <c:v>-1.1365037809742828</c:v>
                </c:pt>
                <c:pt idx="13">
                  <c:v>-0.96769034909579055</c:v>
                </c:pt>
                <c:pt idx="14">
                  <c:v>-0.81640737429195187</c:v>
                </c:pt>
                <c:pt idx="15">
                  <c:v>-0.68169894732308023</c:v>
                </c:pt>
                <c:pt idx="16">
                  <c:v>-0.56260915894949093</c:v>
                </c:pt>
                <c:pt idx="17">
                  <c:v>-0.45818209993149861</c:v>
                </c:pt>
                <c:pt idx="18">
                  <c:v>-0.36746186102941714</c:v>
                </c:pt>
                <c:pt idx="19">
                  <c:v>-0.28949253300356154</c:v>
                </c:pt>
                <c:pt idx="20">
                  <c:v>-0.22331820661424601</c:v>
                </c:pt>
                <c:pt idx="21">
                  <c:v>-0.16798297262178538</c:v>
                </c:pt>
                <c:pt idx="22">
                  <c:v>-0.122530921786494</c:v>
                </c:pt>
                <c:pt idx="23">
                  <c:v>-8.6006144868686379E-2</c:v>
                </c:pt>
                <c:pt idx="24">
                  <c:v>-5.7452732628677144E-2</c:v>
                </c:pt>
                <c:pt idx="25">
                  <c:v>-3.5914775826780751E-2</c:v>
                </c:pt>
                <c:pt idx="26">
                  <c:v>-2.0436365223311749E-2</c:v>
                </c:pt>
                <c:pt idx="27">
                  <c:v>-1.0061591578584644E-2</c:v>
                </c:pt>
                <c:pt idx="28">
                  <c:v>-3.8345456529139694E-3</c:v>
                </c:pt>
                <c:pt idx="29">
                  <c:v>-7.9931820661424636E-4</c:v>
                </c:pt>
                <c:pt idx="30">
                  <c:v>0</c:v>
                </c:pt>
                <c:pt idx="31">
                  <c:v>-4.8068179338575423E-4</c:v>
                </c:pt>
                <c:pt idx="32">
                  <c:v>-1.2854543470860328E-3</c:v>
                </c:pt>
                <c:pt idx="33">
                  <c:v>-1.4584084214153588E-3</c:v>
                </c:pt>
                <c:pt idx="34">
                  <c:v>-4.363477668825784E-5</c:v>
                </c:pt>
                <c:pt idx="35">
                  <c:v>3.9147758267807468E-3</c:v>
                </c:pt>
                <c:pt idx="36">
                  <c:v>1.1372732628677135E-2</c:v>
                </c:pt>
                <c:pt idx="37">
                  <c:v>2.3286144868686361E-2</c:v>
                </c:pt>
                <c:pt idx="38">
                  <c:v>4.0610921786493955E-2</c:v>
                </c:pt>
                <c:pt idx="39">
                  <c:v>6.4302972621785331E-2</c:v>
                </c:pt>
                <c:pt idx="40">
                  <c:v>9.531820661424599E-2</c:v>
                </c:pt>
                <c:pt idx="41">
                  <c:v>0.13461253300356146</c:v>
                </c:pt>
                <c:pt idx="42">
                  <c:v>0.1831418610294171</c:v>
                </c:pt>
                <c:pt idx="43">
                  <c:v>0.24186209993149854</c:v>
                </c:pt>
                <c:pt idx="44">
                  <c:v>0.31172915894949094</c:v>
                </c:pt>
                <c:pt idx="45">
                  <c:v>0.3936989473230802</c:v>
                </c:pt>
                <c:pt idx="46">
                  <c:v>0.48872737429195168</c:v>
                </c:pt>
                <c:pt idx="47">
                  <c:v>0.59777034909579052</c:v>
                </c:pt>
                <c:pt idx="48">
                  <c:v>0.72178378097428275</c:v>
                </c:pt>
                <c:pt idx="49">
                  <c:v>0.86172357916711328</c:v>
                </c:pt>
                <c:pt idx="50">
                  <c:v>1.018545652913968</c:v>
                </c:pt>
              </c:numCache>
            </c:numRef>
          </c:val>
        </c:ser>
        <c:ser>
          <c:idx val="9"/>
          <c:order val="9"/>
          <c:tx>
            <c:strRef>
              <c:f>Лист5!$L$2</c:f>
              <c:strCache>
                <c:ptCount val="1"/>
                <c:pt idx="0">
                  <c:v>-0,2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Лист5!$L$3:$L$53</c:f>
              <c:numCache>
                <c:formatCode>General</c:formatCode>
                <c:ptCount val="51"/>
                <c:pt idx="0">
                  <c:v>-1.1517120230391227</c:v>
                </c:pt>
                <c:pt idx="1">
                  <c:v>-1.0425798714778207</c:v>
                </c:pt>
                <c:pt idx="2">
                  <c:v>-0.94056586406499298</c:v>
                </c:pt>
                <c:pt idx="3">
                  <c:v>-0.84543006479552052</c:v>
                </c:pt>
                <c:pt idx="4">
                  <c:v>-0.75693253766428237</c:v>
                </c:pt>
                <c:pt idx="5">
                  <c:v>-0.67483334666615891</c:v>
                </c:pt>
                <c:pt idx="6">
                  <c:v>-0.59889255579603073</c:v>
                </c:pt>
                <c:pt idx="7">
                  <c:v>-0.52887022904877778</c:v>
                </c:pt>
                <c:pt idx="8">
                  <c:v>-0.46452643041928077</c:v>
                </c:pt>
                <c:pt idx="9">
                  <c:v>-0.40562122390241911</c:v>
                </c:pt>
                <c:pt idx="10">
                  <c:v>-0.35191467349307337</c:v>
                </c:pt>
                <c:pt idx="11">
                  <c:v>-0.30316684318612375</c:v>
                </c:pt>
                <c:pt idx="12">
                  <c:v>-0.25913779697645051</c:v>
                </c:pt>
                <c:pt idx="13">
                  <c:v>-0.21958759885893364</c:v>
                </c:pt>
                <c:pt idx="14">
                  <c:v>-0.18427631282845358</c:v>
                </c:pt>
                <c:pt idx="15">
                  <c:v>-0.15296400287989034</c:v>
                </c:pt>
                <c:pt idx="16">
                  <c:v>-0.12541073300812414</c:v>
                </c:pt>
                <c:pt idx="17">
                  <c:v>-0.1013765672080353</c:v>
                </c:pt>
                <c:pt idx="18">
                  <c:v>-8.0621569474503843E-2</c:v>
                </c:pt>
                <c:pt idx="19">
                  <c:v>-6.2905803802410093E-2</c:v>
                </c:pt>
                <c:pt idx="20">
                  <c:v>-4.7989334186634168E-2</c:v>
                </c:pt>
                <c:pt idx="21">
                  <c:v>-3.5632224622056313E-2</c:v>
                </c:pt>
                <c:pt idx="22">
                  <c:v>-2.5594539103556701E-2</c:v>
                </c:pt>
                <c:pt idx="23">
                  <c:v>-1.7636341626015517E-2</c:v>
                </c:pt>
                <c:pt idx="24">
                  <c:v>-1.1517696184312981E-2</c:v>
                </c:pt>
                <c:pt idx="25">
                  <c:v>-6.998666773329271E-3</c:v>
                </c:pt>
                <c:pt idx="26">
                  <c:v>-3.839317387944588E-3</c:v>
                </c:pt>
                <c:pt idx="27">
                  <c:v>-1.7997120230391227E-3</c:v>
                </c:pt>
                <c:pt idx="28">
                  <c:v>-6.3991467349307348E-4</c:v>
                </c:pt>
                <c:pt idx="29">
                  <c:v>-1.1998933418663421E-4</c:v>
                </c:pt>
                <c:pt idx="30">
                  <c:v>0</c:v>
                </c:pt>
                <c:pt idx="31">
                  <c:v>-4.0010665813365858E-5</c:v>
                </c:pt>
                <c:pt idx="32">
                  <c:v>-8.5326506926730345E-8</c:v>
                </c:pt>
                <c:pt idx="33">
                  <c:v>3.5971202303912236E-4</c:v>
                </c:pt>
                <c:pt idx="34">
                  <c:v>1.2793173879445867E-3</c:v>
                </c:pt>
                <c:pt idx="35">
                  <c:v>2.9986667733292705E-3</c:v>
                </c:pt>
                <c:pt idx="36">
                  <c:v>5.7576961843129795E-3</c:v>
                </c:pt>
                <c:pt idx="37">
                  <c:v>9.7963416260155138E-3</c:v>
                </c:pt>
                <c:pt idx="38">
                  <c:v>1.5354539103556695E-2</c:v>
                </c:pt>
                <c:pt idx="39">
                  <c:v>2.267222462205631E-2</c:v>
                </c:pt>
                <c:pt idx="40">
                  <c:v>3.1989334186634168E-2</c:v>
                </c:pt>
                <c:pt idx="41">
                  <c:v>4.3545803802410091E-2</c:v>
                </c:pt>
                <c:pt idx="42">
                  <c:v>5.7581569474503838E-2</c:v>
                </c:pt>
                <c:pt idx="43">
                  <c:v>7.433656720803529E-2</c:v>
                </c:pt>
                <c:pt idx="44">
                  <c:v>9.4050733008124124E-2</c:v>
                </c:pt>
                <c:pt idx="45">
                  <c:v>0.11696400287989032</c:v>
                </c:pt>
                <c:pt idx="46">
                  <c:v>0.14331631282845358</c:v>
                </c:pt>
                <c:pt idx="47">
                  <c:v>0.17334759885893364</c:v>
                </c:pt>
                <c:pt idx="48">
                  <c:v>0.20729779697645051</c:v>
                </c:pt>
                <c:pt idx="49">
                  <c:v>0.24540684318612371</c:v>
                </c:pt>
                <c:pt idx="50">
                  <c:v>0.28791467349307331</c:v>
                </c:pt>
              </c:numCache>
            </c:numRef>
          </c:val>
        </c:ser>
        <c:ser>
          <c:idx val="10"/>
          <c:order val="10"/>
          <c:tx>
            <c:strRef>
              <c:f>Лист5!$M$2</c:f>
              <c:strCache>
                <c:ptCount val="1"/>
                <c:pt idx="0">
                  <c:v>0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Лист5!$M$3:$M$53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</c:ser>
        <c:ser>
          <c:idx val="11"/>
          <c:order val="11"/>
          <c:tx>
            <c:strRef>
              <c:f>Лист5!$N$2</c:f>
              <c:strCache>
                <c:ptCount val="1"/>
                <c:pt idx="0">
                  <c:v>0,2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Лист5!$N$3:$N$53</c:f>
              <c:numCache>
                <c:formatCode>General</c:formatCode>
                <c:ptCount val="51"/>
                <c:pt idx="0">
                  <c:v>-1.0077120230391226</c:v>
                </c:pt>
                <c:pt idx="1">
                  <c:v>-0.90801987147782071</c:v>
                </c:pt>
                <c:pt idx="2">
                  <c:v>-0.81512586406499299</c:v>
                </c:pt>
                <c:pt idx="3">
                  <c:v>-0.72879006479552044</c:v>
                </c:pt>
                <c:pt idx="4">
                  <c:v>-0.64877253766428233</c:v>
                </c:pt>
                <c:pt idx="5">
                  <c:v>-0.57483334666615882</c:v>
                </c:pt>
                <c:pt idx="6">
                  <c:v>-0.50673255579603071</c:v>
                </c:pt>
                <c:pt idx="7">
                  <c:v>-0.44423022904877774</c:v>
                </c:pt>
                <c:pt idx="8">
                  <c:v>-0.3870864304192807</c:v>
                </c:pt>
                <c:pt idx="9">
                  <c:v>-0.33506122390241905</c:v>
                </c:pt>
                <c:pt idx="10">
                  <c:v>-0.28791467349307331</c:v>
                </c:pt>
                <c:pt idx="11">
                  <c:v>-0.24540684318612371</c:v>
                </c:pt>
                <c:pt idx="12">
                  <c:v>-0.20729779697645051</c:v>
                </c:pt>
                <c:pt idx="13">
                  <c:v>-0.17334759885893364</c:v>
                </c:pt>
                <c:pt idx="14">
                  <c:v>-0.14331631282845358</c:v>
                </c:pt>
                <c:pt idx="15">
                  <c:v>-0.11696400287989032</c:v>
                </c:pt>
                <c:pt idx="16">
                  <c:v>-9.4050733008124124E-2</c:v>
                </c:pt>
                <c:pt idx="17">
                  <c:v>-7.433656720803529E-2</c:v>
                </c:pt>
                <c:pt idx="18">
                  <c:v>-5.7581569474503838E-2</c:v>
                </c:pt>
                <c:pt idx="19">
                  <c:v>-4.3545803802410091E-2</c:v>
                </c:pt>
                <c:pt idx="20">
                  <c:v>-3.1989334186634168E-2</c:v>
                </c:pt>
                <c:pt idx="21">
                  <c:v>-2.267222462205631E-2</c:v>
                </c:pt>
                <c:pt idx="22">
                  <c:v>-1.5354539103556695E-2</c:v>
                </c:pt>
                <c:pt idx="23">
                  <c:v>-9.7963416260155138E-3</c:v>
                </c:pt>
                <c:pt idx="24">
                  <c:v>-5.7576961843129795E-3</c:v>
                </c:pt>
                <c:pt idx="25">
                  <c:v>-2.9986667733292705E-3</c:v>
                </c:pt>
                <c:pt idx="26">
                  <c:v>-1.2793173879445867E-3</c:v>
                </c:pt>
                <c:pt idx="27">
                  <c:v>-3.5971202303912236E-4</c:v>
                </c:pt>
                <c:pt idx="28">
                  <c:v>8.5326506926730345E-8</c:v>
                </c:pt>
                <c:pt idx="29">
                  <c:v>4.0010665813365858E-5</c:v>
                </c:pt>
                <c:pt idx="30">
                  <c:v>0</c:v>
                </c:pt>
                <c:pt idx="31">
                  <c:v>1.1998933418663421E-4</c:v>
                </c:pt>
                <c:pt idx="32">
                  <c:v>6.3991467349307348E-4</c:v>
                </c:pt>
                <c:pt idx="33">
                  <c:v>1.7997120230391227E-3</c:v>
                </c:pt>
                <c:pt idx="34">
                  <c:v>3.839317387944588E-3</c:v>
                </c:pt>
                <c:pt idx="35">
                  <c:v>6.998666773329271E-3</c:v>
                </c:pt>
                <c:pt idx="36">
                  <c:v>1.1517696184312981E-2</c:v>
                </c:pt>
                <c:pt idx="37">
                  <c:v>1.7636341626015517E-2</c:v>
                </c:pt>
                <c:pt idx="38">
                  <c:v>2.5594539103556701E-2</c:v>
                </c:pt>
                <c:pt idx="39">
                  <c:v>3.5632224622056313E-2</c:v>
                </c:pt>
                <c:pt idx="40">
                  <c:v>4.7989334186634168E-2</c:v>
                </c:pt>
                <c:pt idx="41">
                  <c:v>6.2905803802410093E-2</c:v>
                </c:pt>
                <c:pt idx="42">
                  <c:v>8.0621569474503843E-2</c:v>
                </c:pt>
                <c:pt idx="43">
                  <c:v>0.1013765672080353</c:v>
                </c:pt>
                <c:pt idx="44">
                  <c:v>0.12541073300812414</c:v>
                </c:pt>
                <c:pt idx="45">
                  <c:v>0.15296400287989034</c:v>
                </c:pt>
                <c:pt idx="46">
                  <c:v>0.18427631282845358</c:v>
                </c:pt>
                <c:pt idx="47">
                  <c:v>0.21958759885893364</c:v>
                </c:pt>
                <c:pt idx="48">
                  <c:v>0.25913779697645051</c:v>
                </c:pt>
                <c:pt idx="49">
                  <c:v>0.30316684318612375</c:v>
                </c:pt>
                <c:pt idx="50">
                  <c:v>0.35191467349307337</c:v>
                </c:pt>
              </c:numCache>
            </c:numRef>
          </c:val>
        </c:ser>
        <c:ser>
          <c:idx val="12"/>
          <c:order val="12"/>
          <c:tx>
            <c:strRef>
              <c:f>Лист5!$O$2</c:f>
              <c:strCache>
                <c:ptCount val="1"/>
                <c:pt idx="0">
                  <c:v>0,4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Лист5!$O$3:$O$53</c:f>
              <c:numCache>
                <c:formatCode>General</c:formatCode>
                <c:ptCount val="51"/>
                <c:pt idx="0">
                  <c:v>-3.7255915785846416</c:v>
                </c:pt>
                <c:pt idx="1">
                  <c:v>-3.3473717411148458</c:v>
                </c:pt>
                <c:pt idx="2">
                  <c:v>-2.9955932715959275</c:v>
                </c:pt>
                <c:pt idx="3">
                  <c:v>-2.6693002607882041</c:v>
                </c:pt>
                <c:pt idx="4">
                  <c:v>-2.3675367994519885</c:v>
                </c:pt>
                <c:pt idx="5">
                  <c:v>-2.089346978347594</c:v>
                </c:pt>
                <c:pt idx="6">
                  <c:v>-1.8337748882353369</c:v>
                </c:pt>
                <c:pt idx="7">
                  <c:v>-1.5998646198755306</c:v>
                </c:pt>
                <c:pt idx="8">
                  <c:v>-1.386660264028492</c:v>
                </c:pt>
                <c:pt idx="9">
                  <c:v>-1.1932059114545324</c:v>
                </c:pt>
                <c:pt idx="10">
                  <c:v>-1.018545652913968</c:v>
                </c:pt>
                <c:pt idx="11">
                  <c:v>-0.86172357916711328</c:v>
                </c:pt>
                <c:pt idx="12">
                  <c:v>-0.72178378097428275</c:v>
                </c:pt>
                <c:pt idx="13">
                  <c:v>-0.59777034909579052</c:v>
                </c:pt>
                <c:pt idx="14">
                  <c:v>-0.48872737429195168</c:v>
                </c:pt>
                <c:pt idx="15">
                  <c:v>-0.3936989473230802</c:v>
                </c:pt>
                <c:pt idx="16">
                  <c:v>-0.31172915894949094</c:v>
                </c:pt>
                <c:pt idx="17">
                  <c:v>-0.24186209993149854</c:v>
                </c:pt>
                <c:pt idx="18">
                  <c:v>-0.1831418610294171</c:v>
                </c:pt>
                <c:pt idx="19">
                  <c:v>-0.13461253300356146</c:v>
                </c:pt>
                <c:pt idx="20">
                  <c:v>-9.531820661424599E-2</c:v>
                </c:pt>
                <c:pt idx="21">
                  <c:v>-6.4302972621785331E-2</c:v>
                </c:pt>
                <c:pt idx="22">
                  <c:v>-4.0610921786493955E-2</c:v>
                </c:pt>
                <c:pt idx="23">
                  <c:v>-2.3286144868686361E-2</c:v>
                </c:pt>
                <c:pt idx="24">
                  <c:v>-1.1372732628677135E-2</c:v>
                </c:pt>
                <c:pt idx="25">
                  <c:v>-3.9147758267807468E-3</c:v>
                </c:pt>
                <c:pt idx="26">
                  <c:v>4.363477668825784E-5</c:v>
                </c:pt>
                <c:pt idx="27">
                  <c:v>1.4584084214153588E-3</c:v>
                </c:pt>
                <c:pt idx="28">
                  <c:v>1.2854543470860328E-3</c:v>
                </c:pt>
                <c:pt idx="29">
                  <c:v>4.8068179338575423E-4</c:v>
                </c:pt>
                <c:pt idx="30">
                  <c:v>0</c:v>
                </c:pt>
                <c:pt idx="31">
                  <c:v>7.9931820661424636E-4</c:v>
                </c:pt>
                <c:pt idx="32">
                  <c:v>3.8345456529139694E-3</c:v>
                </c:pt>
                <c:pt idx="33">
                  <c:v>1.0061591578584644E-2</c:v>
                </c:pt>
                <c:pt idx="34">
                  <c:v>2.0436365223311749E-2</c:v>
                </c:pt>
                <c:pt idx="35">
                  <c:v>3.5914775826780751E-2</c:v>
                </c:pt>
                <c:pt idx="36">
                  <c:v>5.7452732628677144E-2</c:v>
                </c:pt>
                <c:pt idx="37">
                  <c:v>8.6006144868686379E-2</c:v>
                </c:pt>
                <c:pt idx="38">
                  <c:v>0.122530921786494</c:v>
                </c:pt>
                <c:pt idx="39">
                  <c:v>0.16798297262178538</c:v>
                </c:pt>
                <c:pt idx="40">
                  <c:v>0.22331820661424601</c:v>
                </c:pt>
                <c:pt idx="41">
                  <c:v>0.28949253300356154</c:v>
                </c:pt>
                <c:pt idx="42">
                  <c:v>0.36746186102941714</c:v>
                </c:pt>
                <c:pt idx="43">
                  <c:v>0.45818209993149861</c:v>
                </c:pt>
                <c:pt idx="44">
                  <c:v>0.56260915894949093</c:v>
                </c:pt>
                <c:pt idx="45">
                  <c:v>0.68169894732308023</c:v>
                </c:pt>
                <c:pt idx="46">
                  <c:v>0.81640737429195187</c:v>
                </c:pt>
                <c:pt idx="47">
                  <c:v>0.96769034909579055</c:v>
                </c:pt>
                <c:pt idx="48">
                  <c:v>1.1365037809742828</c:v>
                </c:pt>
                <c:pt idx="49">
                  <c:v>1.3238035791671134</c:v>
                </c:pt>
                <c:pt idx="50">
                  <c:v>1.530545652913968</c:v>
                </c:pt>
              </c:numCache>
            </c:numRef>
          </c:val>
        </c:ser>
        <c:ser>
          <c:idx val="13"/>
          <c:order val="13"/>
          <c:tx>
            <c:strRef>
              <c:f>Лист5!$P$2</c:f>
              <c:strCache>
                <c:ptCount val="1"/>
                <c:pt idx="0">
                  <c:v>0,6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Лист5!$P$3:$P$53</c:f>
              <c:numCache>
                <c:formatCode>General</c:formatCode>
                <c:ptCount val="51"/>
                <c:pt idx="0">
                  <c:v>-7.5674042984274292</c:v>
                </c:pt>
                <c:pt idx="1">
                  <c:v>-6.7750562753461692</c:v>
                </c:pt>
                <c:pt idx="2">
                  <c:v>-6.0396839688547725</c:v>
                </c:pt>
                <c:pt idx="3">
                  <c:v>-5.3591737335535958</c:v>
                </c:pt>
                <c:pt idx="4">
                  <c:v>-4.7314119240429822</c:v>
                </c:pt>
                <c:pt idx="5">
                  <c:v>-4.1542848949232809</c:v>
                </c:pt>
                <c:pt idx="6">
                  <c:v>-3.6256790007948432</c:v>
                </c:pt>
                <c:pt idx="7">
                  <c:v>-3.1434805962580183</c:v>
                </c:pt>
                <c:pt idx="8">
                  <c:v>-2.7055760359131589</c:v>
                </c:pt>
                <c:pt idx="9">
                  <c:v>-2.3098516743606083</c:v>
                </c:pt>
                <c:pt idx="10">
                  <c:v>-1.9541938662007197</c:v>
                </c:pt>
                <c:pt idx="11">
                  <c:v>-1.6364889660338418</c:v>
                </c:pt>
                <c:pt idx="12">
                  <c:v>-1.3546233284603248</c:v>
                </c:pt>
                <c:pt idx="13">
                  <c:v>-1.1064833080805168</c:v>
                </c:pt>
                <c:pt idx="14">
                  <c:v>-0.88995525949476861</c:v>
                </c:pt>
                <c:pt idx="15">
                  <c:v>-0.70292553730342866</c:v>
                </c:pt>
                <c:pt idx="16">
                  <c:v>-0.54328049610684659</c:v>
                </c:pt>
                <c:pt idx="17">
                  <c:v>-0.40890649050537275</c:v>
                </c:pt>
                <c:pt idx="18">
                  <c:v>-0.29768987509935541</c:v>
                </c:pt>
                <c:pt idx="19">
                  <c:v>-0.20751700448914484</c:v>
                </c:pt>
                <c:pt idx="20">
                  <c:v>-0.13627423327508995</c:v>
                </c:pt>
                <c:pt idx="21">
                  <c:v>-8.1847916057540604E-2</c:v>
                </c:pt>
                <c:pt idx="22">
                  <c:v>-4.2124407436846062E-2</c:v>
                </c:pt>
                <c:pt idx="23">
                  <c:v>-1.4990062013355829E-2</c:v>
                </c:pt>
                <c:pt idx="24">
                  <c:v>1.6687656125805722E-3</c:v>
                </c:pt>
                <c:pt idx="25">
                  <c:v>9.9657208406137565E-3</c:v>
                </c:pt>
                <c:pt idx="26">
                  <c:v>1.2014449070394246E-2</c:v>
                </c:pt>
                <c:pt idx="27">
                  <c:v>9.928595701572571E-3</c:v>
                </c:pt>
                <c:pt idx="28">
                  <c:v>5.8218061337992812E-3</c:v>
                </c:pt>
                <c:pt idx="29">
                  <c:v>1.8077257667249104E-3</c:v>
                </c:pt>
                <c:pt idx="30">
                  <c:v>0</c:v>
                </c:pt>
                <c:pt idx="31">
                  <c:v>2.5122742332750903E-3</c:v>
                </c:pt>
                <c:pt idx="32">
                  <c:v>1.1458193866200722E-2</c:v>
                </c:pt>
                <c:pt idx="33">
                  <c:v>2.8951404298427429E-2</c:v>
                </c:pt>
                <c:pt idx="34">
                  <c:v>5.7105550929605772E-2</c:v>
                </c:pt>
                <c:pt idx="35">
                  <c:v>9.8034279159386242E-2</c:v>
                </c:pt>
                <c:pt idx="36">
                  <c:v>0.15385123438741943</c:v>
                </c:pt>
                <c:pt idx="37">
                  <c:v>0.22667006201335582</c:v>
                </c:pt>
                <c:pt idx="38">
                  <c:v>0.31860440743684615</c:v>
                </c:pt>
                <c:pt idx="39">
                  <c:v>0.43176791605754061</c:v>
                </c:pt>
                <c:pt idx="40">
                  <c:v>0.56827423327508997</c:v>
                </c:pt>
                <c:pt idx="41">
                  <c:v>0.73023700448914486</c:v>
                </c:pt>
                <c:pt idx="42">
                  <c:v>0.91976987509935537</c:v>
                </c:pt>
                <c:pt idx="43">
                  <c:v>1.1389864905053728</c:v>
                </c:pt>
                <c:pt idx="44">
                  <c:v>1.3900004961068464</c:v>
                </c:pt>
                <c:pt idx="45">
                  <c:v>1.6749255373034286</c:v>
                </c:pt>
                <c:pt idx="46">
                  <c:v>1.9958752594947688</c:v>
                </c:pt>
                <c:pt idx="47">
                  <c:v>2.3549633080805163</c:v>
                </c:pt>
                <c:pt idx="48">
                  <c:v>2.7543033284603249</c:v>
                </c:pt>
                <c:pt idx="49">
                  <c:v>3.1960089660338418</c:v>
                </c:pt>
                <c:pt idx="50">
                  <c:v>3.6821938662007194</c:v>
                </c:pt>
              </c:numCache>
            </c:numRef>
          </c:val>
        </c:ser>
        <c:ser>
          <c:idx val="14"/>
          <c:order val="14"/>
          <c:tx>
            <c:strRef>
              <c:f>Лист5!$Q$2</c:f>
              <c:strCache>
                <c:ptCount val="1"/>
                <c:pt idx="0">
                  <c:v>0,8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Лист5!$Q$3:$Q$53</c:f>
              <c:numCache>
                <c:formatCode>General</c:formatCode>
                <c:ptCount val="51"/>
                <c:pt idx="0">
                  <c:v>-11.516276916784587</c:v>
                </c:pt>
                <c:pt idx="1">
                  <c:v>-10.259079619387379</c:v>
                </c:pt>
                <c:pt idx="2">
                  <c:v>-9.0955543287872267</c:v>
                </c:pt>
                <c:pt idx="3">
                  <c:v>-8.022117872335965</c:v>
                </c:pt>
                <c:pt idx="4">
                  <c:v>-7.0351870773854053</c:v>
                </c:pt>
                <c:pt idx="5">
                  <c:v>-6.1311787712873755</c:v>
                </c:pt>
                <c:pt idx="6">
                  <c:v>-5.3065097813937072</c:v>
                </c:pt>
                <c:pt idx="7">
                  <c:v>-4.5575969350562229</c:v>
                </c:pt>
                <c:pt idx="8">
                  <c:v>-3.8808570596267522</c:v>
                </c:pt>
                <c:pt idx="9">
                  <c:v>-3.2727069824571129</c:v>
                </c:pt>
                <c:pt idx="10">
                  <c:v>-2.7295635308991364</c:v>
                </c:pt>
                <c:pt idx="11">
                  <c:v>-2.2478435323046471</c:v>
                </c:pt>
                <c:pt idx="12">
                  <c:v>-1.8239638140254708</c:v>
                </c:pt>
                <c:pt idx="13">
                  <c:v>-1.4543412034134318</c:v>
                </c:pt>
                <c:pt idx="14">
                  <c:v>-1.1353925278203583</c:v>
                </c:pt>
                <c:pt idx="15">
                  <c:v>-0.86353461459807312</c:v>
                </c:pt>
                <c:pt idx="16">
                  <c:v>-0.63518429109840335</c:v>
                </c:pt>
                <c:pt idx="17">
                  <c:v>-0.44675838467317552</c:v>
                </c:pt>
                <c:pt idx="18">
                  <c:v>-0.29467372267421332</c:v>
                </c:pt>
                <c:pt idx="19">
                  <c:v>-0.17534713245334388</c:v>
                </c:pt>
                <c:pt idx="20">
                  <c:v>-8.5195441362391988E-2</c:v>
                </c:pt>
                <c:pt idx="21">
                  <c:v>-2.0635476753183779E-2</c:v>
                </c:pt>
                <c:pt idx="22">
                  <c:v>2.1915934022455286E-2</c:v>
                </c:pt>
                <c:pt idx="23">
                  <c:v>4.6041963612699605E-2</c:v>
                </c:pt>
                <c:pt idx="24">
                  <c:v>5.5325784665723354E-2</c:v>
                </c:pt>
                <c:pt idx="25">
                  <c:v>5.3350569829701017E-2</c:v>
                </c:pt>
                <c:pt idx="26">
                  <c:v>4.3699491752806928E-2</c:v>
                </c:pt>
                <c:pt idx="27">
                  <c:v>2.9955723083215424E-2</c:v>
                </c:pt>
                <c:pt idx="28">
                  <c:v>1.5702436469100869E-2</c:v>
                </c:pt>
                <c:pt idx="29">
                  <c:v>4.5228045586376102E-3</c:v>
                </c:pt>
                <c:pt idx="30">
                  <c:v>0</c:v>
                </c:pt>
                <c:pt idx="31">
                  <c:v>5.7171954413623941E-3</c:v>
                </c:pt>
                <c:pt idx="32">
                  <c:v>2.5257563530899148E-2</c:v>
                </c:pt>
                <c:pt idx="33">
                  <c:v>6.2204276916784595E-2</c:v>
                </c:pt>
                <c:pt idx="34">
                  <c:v>0.12014050824719313</c:v>
                </c:pt>
                <c:pt idx="35">
                  <c:v>0.20264943017029904</c:v>
                </c:pt>
                <c:pt idx="36">
                  <c:v>0.31331421533427672</c:v>
                </c:pt>
                <c:pt idx="37">
                  <c:v>0.45571803638730046</c:v>
                </c:pt>
                <c:pt idx="38">
                  <c:v>0.63344406597754499</c:v>
                </c:pt>
                <c:pt idx="39">
                  <c:v>0.85007547675318407</c:v>
                </c:pt>
                <c:pt idx="40">
                  <c:v>1.1091954413623921</c:v>
                </c:pt>
                <c:pt idx="41">
                  <c:v>1.4143871324533444</c:v>
                </c:pt>
                <c:pt idx="42">
                  <c:v>1.7692337226742136</c:v>
                </c:pt>
                <c:pt idx="43">
                  <c:v>2.1773183846731761</c:v>
                </c:pt>
                <c:pt idx="44">
                  <c:v>2.6422242910984037</c:v>
                </c:pt>
                <c:pt idx="45">
                  <c:v>3.1675346145980736</c:v>
                </c:pt>
                <c:pt idx="46">
                  <c:v>3.7568325278203591</c:v>
                </c:pt>
                <c:pt idx="47">
                  <c:v>4.4137012034134315</c:v>
                </c:pt>
                <c:pt idx="48">
                  <c:v>5.1417238140254717</c:v>
                </c:pt>
                <c:pt idx="49">
                  <c:v>5.9444835323046474</c:v>
                </c:pt>
                <c:pt idx="50">
                  <c:v>6.8255635308991369</c:v>
                </c:pt>
              </c:numCache>
            </c:numRef>
          </c:val>
        </c:ser>
        <c:ser>
          <c:idx val="15"/>
          <c:order val="15"/>
          <c:tx>
            <c:strRef>
              <c:f>Лист5!$R$2</c:f>
              <c:strCache>
                <c:ptCount val="1"/>
                <c:pt idx="0">
                  <c:v>1</c:v>
                </c:pt>
              </c:strCache>
            </c:strRef>
          </c:tx>
          <c:cat>
            <c:numRef>
              <c:f>Лист5!$B$3:$B$53</c:f>
              <c:numCache>
                <c:formatCode>General</c:formatCode>
                <c:ptCount val="5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</c:numCache>
            </c:numRef>
          </c:cat>
          <c:val>
            <c:numRef>
              <c:f>Лист5!$R$3:$R$53</c:f>
              <c:numCache>
                <c:formatCode>General</c:formatCode>
                <c:ptCount val="51"/>
                <c:pt idx="0">
                  <c:v>-13.719716589813206</c:v>
                </c:pt>
                <c:pt idx="1">
                  <c:v>-12.112635848479787</c:v>
                </c:pt>
                <c:pt idx="2">
                  <c:v>-10.631971058502941</c:v>
                </c:pt>
                <c:pt idx="3">
                  <c:v>-9.2726733939738271</c:v>
                </c:pt>
                <c:pt idx="4">
                  <c:v>-8.0296940289835916</c:v>
                </c:pt>
                <c:pt idx="5">
                  <c:v>-6.8979841376233821</c:v>
                </c:pt>
                <c:pt idx="6">
                  <c:v>-5.8724948939843618</c:v>
                </c:pt>
                <c:pt idx="7">
                  <c:v>-4.9481774721576741</c:v>
                </c:pt>
                <c:pt idx="8">
                  <c:v>-4.1199830462344833</c:v>
                </c:pt>
                <c:pt idx="9">
                  <c:v>-3.3828627903059303</c:v>
                </c:pt>
                <c:pt idx="10">
                  <c:v>-2.731767878463172</c:v>
                </c:pt>
                <c:pt idx="11">
                  <c:v>-2.1616494847973615</c:v>
                </c:pt>
                <c:pt idx="12">
                  <c:v>-1.6674587833996526</c:v>
                </c:pt>
                <c:pt idx="13">
                  <c:v>-1.2441469483611955</c:v>
                </c:pt>
                <c:pt idx="14">
                  <c:v>-0.88666515377314425</c:v>
                </c:pt>
                <c:pt idx="15">
                  <c:v>-0.58996457372665079</c:v>
                </c:pt>
                <c:pt idx="16">
                  <c:v>-0.34899638231286789</c:v>
                </c:pt>
                <c:pt idx="17">
                  <c:v>-0.15871175362294898</c:v>
                </c:pt>
                <c:pt idx="18">
                  <c:v>-1.4061861748045246E-2</c:v>
                </c:pt>
                <c:pt idx="19">
                  <c:v>9.000211922068968E-2</c:v>
                </c:pt>
                <c:pt idx="20">
                  <c:v>0.1585290151921035</c:v>
                </c:pt>
                <c:pt idx="21">
                  <c:v>0.19656765207504345</c:v>
                </c:pt>
                <c:pt idx="22">
                  <c:v>0.20916685577835703</c:v>
                </c:pt>
                <c:pt idx="23">
                  <c:v>0.20137545221089148</c:v>
                </c:pt>
                <c:pt idx="24">
                  <c:v>0.17824226728149434</c:v>
                </c:pt>
                <c:pt idx="25">
                  <c:v>0.14481612689901294</c:v>
                </c:pt>
                <c:pt idx="26">
                  <c:v>0.10614585697229464</c:v>
                </c:pt>
                <c:pt idx="27">
                  <c:v>6.7280283410186797E-2</c:v>
                </c:pt>
                <c:pt idx="28">
                  <c:v>3.3268232121536831E-2</c:v>
                </c:pt>
                <c:pt idx="29">
                  <c:v>9.1585290151921048E-3</c:v>
                </c:pt>
                <c:pt idx="30">
                  <c:v>0</c:v>
                </c:pt>
                <c:pt idx="31">
                  <c:v>1.0841470984807899E-2</c:v>
                </c:pt>
                <c:pt idx="32">
                  <c:v>4.6731767878463185E-2</c:v>
                </c:pt>
                <c:pt idx="33">
                  <c:v>0.1127197165898132</c:v>
                </c:pt>
                <c:pt idx="34">
                  <c:v>0.21385414302770542</c:v>
                </c:pt>
                <c:pt idx="35">
                  <c:v>0.35518387310098709</c:v>
                </c:pt>
                <c:pt idx="36">
                  <c:v>0.54175773271850569</c:v>
                </c:pt>
                <c:pt idx="37">
                  <c:v>0.77862454778910839</c:v>
                </c:pt>
                <c:pt idx="38">
                  <c:v>1.0708331442216432</c:v>
                </c:pt>
                <c:pt idx="39">
                  <c:v>1.4234323479249567</c:v>
                </c:pt>
                <c:pt idx="40">
                  <c:v>1.8414709848078965</c:v>
                </c:pt>
                <c:pt idx="41">
                  <c:v>2.3299978807793105</c:v>
                </c:pt>
                <c:pt idx="42">
                  <c:v>2.8940618617480451</c:v>
                </c:pt>
                <c:pt idx="43">
                  <c:v>3.5387117536229491</c:v>
                </c:pt>
                <c:pt idx="44">
                  <c:v>4.2689963823128672</c:v>
                </c:pt>
                <c:pt idx="45">
                  <c:v>5.0899645737266503</c:v>
                </c:pt>
                <c:pt idx="46">
                  <c:v>6.0066651537731452</c:v>
                </c:pt>
                <c:pt idx="47">
                  <c:v>7.0241469483611949</c:v>
                </c:pt>
                <c:pt idx="48">
                  <c:v>8.147458783399653</c:v>
                </c:pt>
                <c:pt idx="49">
                  <c:v>9.3816494847973608</c:v>
                </c:pt>
                <c:pt idx="50">
                  <c:v>10.731767878463172</c:v>
                </c:pt>
              </c:numCache>
            </c:numRef>
          </c:val>
        </c:ser>
        <c:bandFmts/>
        <c:axId val="168966784"/>
        <c:axId val="173161856"/>
        <c:axId val="170475968"/>
      </c:surface3DChart>
      <c:catAx>
        <c:axId val="168966784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40947266412827288"/>
              <c:y val="0.82411178118882134"/>
            </c:manualLayout>
          </c:layout>
        </c:title>
        <c:numFmt formatCode="General" sourceLinked="1"/>
        <c:tickLblPos val="nextTo"/>
        <c:crossAx val="173161856"/>
        <c:crossesAt val="-60"/>
        <c:auto val="1"/>
        <c:lblAlgn val="ctr"/>
        <c:lblOffset val="100"/>
        <c:tickLblSkip val="5"/>
      </c:catAx>
      <c:valAx>
        <c:axId val="173161856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Z</a:t>
                </a:r>
              </a:p>
            </c:rich>
          </c:tx>
          <c:layout/>
        </c:title>
        <c:numFmt formatCode="General" sourceLinked="1"/>
        <c:tickLblPos val="nextTo"/>
        <c:crossAx val="168966784"/>
        <c:crosses val="autoZero"/>
        <c:crossBetween val="midCat"/>
      </c:valAx>
      <c:serAx>
        <c:axId val="170475968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0.92370436842100023"/>
              <c:y val="0.78608464888823792"/>
            </c:manualLayout>
          </c:layout>
        </c:title>
        <c:tickLblPos val="nextTo"/>
        <c:crossAx val="173161856"/>
        <c:crossesAt val="-60"/>
      </c:ser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val>
            <c:numRef>
              <c:f>Лист6!$B$6:$B$9</c:f>
              <c:numCache>
                <c:formatCode>General</c:formatCode>
                <c:ptCount val="4"/>
                <c:pt idx="0">
                  <c:v>26.8</c:v>
                </c:pt>
                <c:pt idx="1">
                  <c:v>28.3</c:v>
                </c:pt>
                <c:pt idx="2">
                  <c:v>31.8</c:v>
                </c:pt>
                <c:pt idx="3">
                  <c:v>35.799999999999997</c:v>
                </c:pt>
              </c:numCache>
            </c:numRef>
          </c:val>
        </c:ser>
        <c:ser>
          <c:idx val="1"/>
          <c:order val="1"/>
          <c:val>
            <c:numRef>
              <c:f>Лист6!$C$6:$C$9</c:f>
              <c:numCache>
                <c:formatCode>General</c:formatCode>
                <c:ptCount val="4"/>
                <c:pt idx="0">
                  <c:v>50</c:v>
                </c:pt>
                <c:pt idx="1">
                  <c:v>54</c:v>
                </c:pt>
                <c:pt idx="2">
                  <c:v>60.4</c:v>
                </c:pt>
                <c:pt idx="3">
                  <c:v>68.5</c:v>
                </c:pt>
              </c:numCache>
            </c:numRef>
          </c:val>
        </c:ser>
        <c:ser>
          <c:idx val="2"/>
          <c:order val="2"/>
          <c:val>
            <c:numRef>
              <c:f>Лист6!$D$6:$D$9</c:f>
              <c:numCache>
                <c:formatCode>General</c:formatCode>
                <c:ptCount val="4"/>
                <c:pt idx="0">
                  <c:v>75</c:v>
                </c:pt>
                <c:pt idx="1">
                  <c:v>79.5</c:v>
                </c:pt>
                <c:pt idx="2">
                  <c:v>89</c:v>
                </c:pt>
                <c:pt idx="3">
                  <c:v>101</c:v>
                </c:pt>
              </c:numCache>
            </c:numRef>
          </c:val>
        </c:ser>
        <c:ser>
          <c:idx val="3"/>
          <c:order val="3"/>
          <c:val>
            <c:numRef>
              <c:f>Лист6!$E$6:$E$9</c:f>
              <c:numCache>
                <c:formatCode>General</c:formatCode>
                <c:ptCount val="4"/>
                <c:pt idx="0">
                  <c:v>7.2</c:v>
                </c:pt>
                <c:pt idx="1">
                  <c:v>7.3</c:v>
                </c:pt>
                <c:pt idx="2">
                  <c:v>8.1</c:v>
                </c:pt>
                <c:pt idx="3">
                  <c:v>9</c:v>
                </c:pt>
              </c:numCache>
            </c:numRef>
          </c:val>
        </c:ser>
        <c:axId val="173251584"/>
        <c:axId val="173158784"/>
      </c:barChart>
      <c:catAx>
        <c:axId val="173251584"/>
        <c:scaling>
          <c:orientation val="minMax"/>
        </c:scaling>
        <c:axPos val="b"/>
        <c:tickLblPos val="nextTo"/>
        <c:crossAx val="173158784"/>
        <c:crosses val="autoZero"/>
        <c:auto val="1"/>
        <c:lblAlgn val="ctr"/>
        <c:lblOffset val="100"/>
      </c:catAx>
      <c:valAx>
        <c:axId val="173158784"/>
        <c:scaling>
          <c:orientation val="minMax"/>
        </c:scaling>
        <c:axPos val="l"/>
        <c:majorGridlines/>
        <c:numFmt formatCode="General" sourceLinked="1"/>
        <c:tickLblPos val="nextTo"/>
        <c:crossAx val="1732515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302560</xdr:colOff>
      <xdr:row>0</xdr:row>
      <xdr:rowOff>1</xdr:rowOff>
    </xdr:from>
    <xdr:to>
      <xdr:col>12</xdr:col>
      <xdr:colOff>526677</xdr:colOff>
      <xdr:row>10</xdr:row>
      <xdr:rowOff>100854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280149</xdr:colOff>
      <xdr:row>13</xdr:row>
      <xdr:rowOff>134469</xdr:rowOff>
    </xdr:from>
    <xdr:to>
      <xdr:col>13</xdr:col>
      <xdr:colOff>44823</xdr:colOff>
      <xdr:row>23</xdr:row>
      <xdr:rowOff>33618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268942</xdr:colOff>
      <xdr:row>26</xdr:row>
      <xdr:rowOff>78442</xdr:rowOff>
    </xdr:from>
    <xdr:to>
      <xdr:col>12</xdr:col>
      <xdr:colOff>526678</xdr:colOff>
      <xdr:row>34</xdr:row>
      <xdr:rowOff>145677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515470</xdr:colOff>
      <xdr:row>4</xdr:row>
      <xdr:rowOff>67234</xdr:rowOff>
    </xdr:from>
    <xdr:to>
      <xdr:col>13</xdr:col>
      <xdr:colOff>123265</xdr:colOff>
      <xdr:row>17</xdr:row>
      <xdr:rowOff>145676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266698</xdr:colOff>
      <xdr:row>2</xdr:row>
      <xdr:rowOff>133351</xdr:rowOff>
    </xdr:from>
    <xdr:to>
      <xdr:col>9</xdr:col>
      <xdr:colOff>495300</xdr:colOff>
      <xdr:row>16</xdr:row>
      <xdr:rowOff>161925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752477</xdr:colOff>
      <xdr:row>16</xdr:row>
      <xdr:rowOff>133349</xdr:rowOff>
    </xdr:from>
    <xdr:to>
      <xdr:col>9</xdr:col>
      <xdr:colOff>333376</xdr:colOff>
      <xdr:row>32</xdr:row>
      <xdr:rowOff>21848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493058</xdr:colOff>
      <xdr:row>13</xdr:row>
      <xdr:rowOff>168088</xdr:rowOff>
    </xdr:from>
    <xdr:to>
      <xdr:col>12</xdr:col>
      <xdr:colOff>224117</xdr:colOff>
      <xdr:row>25</xdr:row>
      <xdr:rowOff>89647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179294</xdr:colOff>
      <xdr:row>9</xdr:row>
      <xdr:rowOff>190500</xdr:rowOff>
    </xdr:from>
    <xdr:to>
      <xdr:col>24</xdr:col>
      <xdr:colOff>212912</xdr:colOff>
      <xdr:row>30</xdr:row>
      <xdr:rowOff>22411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4</xdr:row>
      <xdr:rowOff>152400</xdr:rowOff>
    </xdr:from>
    <xdr:to>
      <xdr:col>13</xdr:col>
      <xdr:colOff>247650</xdr:colOff>
      <xdr:row>15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opLeftCell="A7" zoomScale="85" zoomScaleNormal="85" workbookViewId="0">
      <selection activeCell="O29" sqref="O29"/>
    </sheetView>
  </sheetViews>
  <sheetFormatPr defaultRowHeight="15"/>
  <cols>
    <col min="1" max="4" width="9.28515625" customWidth="1"/>
  </cols>
  <sheetData>
    <row r="1" spans="1:4" ht="18.75">
      <c r="A1" s="4" t="s">
        <v>0</v>
      </c>
      <c r="B1" s="4" t="s">
        <v>1</v>
      </c>
      <c r="C1" s="4" t="s">
        <v>2</v>
      </c>
      <c r="D1" s="4" t="s">
        <v>3</v>
      </c>
    </row>
    <row r="2" spans="1:4" ht="18.75">
      <c r="A2" s="4">
        <v>-2</v>
      </c>
      <c r="B2" s="4">
        <f>SIN(A2)+ABS(SIN(A2))</f>
        <v>0</v>
      </c>
      <c r="C2" s="3">
        <f>3 * SIN(A2) - COS(A2) * COS(A2)</f>
        <v>-2.901070470045239</v>
      </c>
      <c r="D2" s="2">
        <f>(1 + (A2^2) / (1 + A2^2)) ^ (1/2)</f>
        <v>1.3416407864998738</v>
      </c>
    </row>
    <row r="3" spans="1:4" ht="18.75">
      <c r="A3" s="4">
        <v>-1.9</v>
      </c>
      <c r="B3" s="4">
        <f t="shared" ref="B3:B42" si="0">SIN(A3)+ABS(SIN(A3))</f>
        <v>0</v>
      </c>
      <c r="C3" s="3">
        <f t="shared" ref="C3:C42" si="1">3 * SIN(A3) - COS(A3) * COS(A3)</f>
        <v>-2.943416407105035</v>
      </c>
      <c r="D3" s="2">
        <f t="shared" ref="D3:D21" si="2">(1 + (A3^2) / (1 + A3^2)) ^ (1/2)</f>
        <v>1.3353202837910041</v>
      </c>
    </row>
    <row r="4" spans="1:4" ht="18.75">
      <c r="A4" s="4">
        <v>-1.8</v>
      </c>
      <c r="B4" s="4">
        <f t="shared" si="0"/>
        <v>0</v>
      </c>
      <c r="C4" s="3">
        <f t="shared" si="1"/>
        <v>-2.973163684467512</v>
      </c>
      <c r="D4" s="2">
        <f t="shared" si="2"/>
        <v>1.3282134404515813</v>
      </c>
    </row>
    <row r="5" spans="1:4" ht="18.75">
      <c r="A5" s="4">
        <v>-1.7</v>
      </c>
      <c r="B5" s="4">
        <f t="shared" si="0"/>
        <v>0</v>
      </c>
      <c r="C5" s="3">
        <f t="shared" si="1"/>
        <v>-2.9915953350676752</v>
      </c>
      <c r="D5" s="2">
        <f t="shared" si="2"/>
        <v>1.3202009662394738</v>
      </c>
    </row>
    <row r="6" spans="1:4" ht="18.75">
      <c r="A6" s="4">
        <v>-1.6</v>
      </c>
      <c r="B6" s="4">
        <f t="shared" si="0"/>
        <v>0</v>
      </c>
      <c r="C6" s="3">
        <f t="shared" si="1"/>
        <v>-2.9995734212271388</v>
      </c>
      <c r="D6" s="2">
        <f t="shared" si="2"/>
        <v>1.3111449666591051</v>
      </c>
    </row>
    <row r="7" spans="1:4" ht="18.75">
      <c r="A7" s="4">
        <v>-1.5</v>
      </c>
      <c r="B7" s="4">
        <f t="shared" si="0"/>
        <v>0</v>
      </c>
      <c r="C7" s="3">
        <f t="shared" si="1"/>
        <v>-2.9974887115119406</v>
      </c>
      <c r="D7" s="2">
        <f t="shared" si="2"/>
        <v>1.3008872711759818</v>
      </c>
    </row>
    <row r="8" spans="1:4" ht="18.75">
      <c r="A8" s="4">
        <v>-1.4</v>
      </c>
      <c r="B8" s="4">
        <f t="shared" si="0"/>
        <v>0</v>
      </c>
      <c r="C8" s="3">
        <f t="shared" si="1"/>
        <v>-2.9852380196310517</v>
      </c>
      <c r="D8" s="2">
        <f t="shared" si="2"/>
        <v>1.2892486812722215</v>
      </c>
    </row>
    <row r="9" spans="1:4" ht="18.75">
      <c r="A9" s="4">
        <v>-1.3</v>
      </c>
      <c r="B9" s="4">
        <f t="shared" si="0"/>
        <v>0</v>
      </c>
      <c r="C9" s="3">
        <f t="shared" si="1"/>
        <v>-2.9622301795671051</v>
      </c>
      <c r="D9" s="2">
        <f t="shared" si="2"/>
        <v>1.2760300890277194</v>
      </c>
    </row>
    <row r="10" spans="1:4" ht="18.75">
      <c r="A10" s="4">
        <v>-1.2</v>
      </c>
      <c r="B10" s="4">
        <f t="shared" si="0"/>
        <v>0</v>
      </c>
      <c r="C10" s="3">
        <f t="shared" si="1"/>
        <v>-2.927420400131056</v>
      </c>
      <c r="D10" s="2">
        <f t="shared" si="2"/>
        <v>1.2610170238447336</v>
      </c>
    </row>
    <row r="11" spans="1:4" ht="18.75">
      <c r="A11" s="4">
        <v>-1.1000000000000001</v>
      </c>
      <c r="B11" s="4">
        <f t="shared" si="0"/>
        <v>0</v>
      </c>
      <c r="C11" s="3">
        <f t="shared" si="1"/>
        <v>-2.8793715215566333</v>
      </c>
      <c r="D11" s="2">
        <f t="shared" si="2"/>
        <v>1.2439900772181403</v>
      </c>
    </row>
    <row r="12" spans="1:4" ht="18.75">
      <c r="A12" s="4">
        <v>-1</v>
      </c>
      <c r="B12" s="4">
        <f t="shared" si="0"/>
        <v>0</v>
      </c>
      <c r="C12" s="3">
        <f t="shared" si="1"/>
        <v>-2.8163395361501182</v>
      </c>
      <c r="D12" s="2">
        <f t="shared" si="2"/>
        <v>1.2247448713915889</v>
      </c>
    </row>
    <row r="13" spans="1:4" ht="18.75">
      <c r="A13" s="4">
        <v>-0.9</v>
      </c>
      <c r="B13" s="4">
        <f t="shared" si="0"/>
        <v>0</v>
      </c>
      <c r="C13" s="3">
        <f t="shared" si="1"/>
        <v>-2.7363796815359067</v>
      </c>
      <c r="D13" s="2">
        <f t="shared" si="2"/>
        <v>1.2031266816735036</v>
      </c>
    </row>
    <row r="14" spans="1:4" ht="18.75">
      <c r="A14" s="4">
        <v>-0.8</v>
      </c>
      <c r="B14" s="4">
        <f t="shared" si="0"/>
        <v>0</v>
      </c>
      <c r="C14" s="3">
        <f t="shared" si="1"/>
        <v>-2.6374685115479242</v>
      </c>
      <c r="D14" s="2">
        <f t="shared" si="2"/>
        <v>1.1790860453923728</v>
      </c>
    </row>
    <row r="15" spans="1:4" ht="18.75">
      <c r="A15" s="4">
        <v>-0.7</v>
      </c>
      <c r="B15" s="4">
        <f t="shared" si="0"/>
        <v>0</v>
      </c>
      <c r="C15" s="3">
        <f t="shared" si="1"/>
        <v>-2.5176366331631934</v>
      </c>
      <c r="D15" s="2">
        <f t="shared" si="2"/>
        <v>1.1527614932858767</v>
      </c>
    </row>
    <row r="16" spans="1:4" ht="18.75">
      <c r="A16" s="4">
        <v>-0.6</v>
      </c>
      <c r="B16" s="4">
        <f t="shared" si="0"/>
        <v>0</v>
      </c>
      <c r="C16" s="3">
        <f t="shared" si="1"/>
        <v>-2.3751062974234429</v>
      </c>
      <c r="D16" s="2">
        <f t="shared" si="2"/>
        <v>1.1245914290767742</v>
      </c>
    </row>
    <row r="17" spans="1:4" ht="18.75">
      <c r="A17" s="4">
        <v>-0.5</v>
      </c>
      <c r="B17" s="4">
        <f t="shared" si="0"/>
        <v>0</v>
      </c>
      <c r="C17" s="3">
        <f t="shared" si="1"/>
        <v>-2.2084277687466791</v>
      </c>
      <c r="D17" s="2">
        <f t="shared" si="2"/>
        <v>1.0954451150103321</v>
      </c>
    </row>
    <row r="18" spans="1:4" ht="18.75">
      <c r="A18" s="4">
        <v>-0.4</v>
      </c>
      <c r="B18" s="4">
        <f t="shared" si="0"/>
        <v>0</v>
      </c>
      <c r="C18" s="3">
        <f t="shared" si="1"/>
        <v>-2.0166083815995344</v>
      </c>
      <c r="D18" s="2">
        <f t="shared" si="2"/>
        <v>1.0667385033281394</v>
      </c>
    </row>
    <row r="19" spans="1:4" ht="18.75">
      <c r="A19" s="4">
        <v>-0.3</v>
      </c>
      <c r="B19" s="4">
        <f t="shared" si="0"/>
        <v>0</v>
      </c>
      <c r="C19" s="3">
        <f t="shared" si="1"/>
        <v>-1.7992284274388577</v>
      </c>
      <c r="D19" s="2">
        <f t="shared" si="2"/>
        <v>1.0404656685059097</v>
      </c>
    </row>
    <row r="20" spans="1:4" ht="18.75">
      <c r="A20" s="4">
        <v>-0.2</v>
      </c>
      <c r="B20" s="4">
        <f t="shared" si="0"/>
        <v>0</v>
      </c>
      <c r="C20" s="3">
        <f t="shared" si="1"/>
        <v>-1.5565384893866261</v>
      </c>
      <c r="D20" s="2">
        <f t="shared" si="2"/>
        <v>1.0190493307301363</v>
      </c>
    </row>
    <row r="21" spans="1:4" ht="18.75">
      <c r="A21" s="4">
        <v>-0.1</v>
      </c>
      <c r="B21" s="4">
        <f t="shared" si="0"/>
        <v>0</v>
      </c>
      <c r="C21" s="3">
        <f t="shared" si="1"/>
        <v>-1.2895335388611053</v>
      </c>
      <c r="D21" s="2">
        <f t="shared" si="2"/>
        <v>1.0049383016379712</v>
      </c>
    </row>
    <row r="22" spans="1:4" ht="18.75">
      <c r="A22" s="4">
        <v>0</v>
      </c>
      <c r="B22" s="4">
        <f t="shared" si="0"/>
        <v>0</v>
      </c>
      <c r="C22" s="3">
        <f t="shared" si="1"/>
        <v>-1</v>
      </c>
      <c r="D22" s="2">
        <f>2 * COS(A23) * (EXP(1)) ^ (-2 * A23)</f>
        <v>1.6292810191076135</v>
      </c>
    </row>
    <row r="23" spans="1:4" ht="18.75">
      <c r="A23" s="4">
        <v>0.1</v>
      </c>
      <c r="B23" s="4">
        <f t="shared" si="0"/>
        <v>0.19966683329365631</v>
      </c>
      <c r="C23" s="3">
        <f>2 * (1 + 2 *A23) ^ (1/2)</f>
        <v>2.1908902300206643</v>
      </c>
      <c r="D23" s="2">
        <f t="shared" ref="D23:D32" si="3">2 * COS(A24) * (EXP(1)) ^ (-2 * A24)</f>
        <v>1.3139165471530652</v>
      </c>
    </row>
    <row r="24" spans="1:4" ht="18.75">
      <c r="A24" s="4">
        <v>0.2</v>
      </c>
      <c r="B24" s="4">
        <f t="shared" si="0"/>
        <v>0.39733866159012243</v>
      </c>
      <c r="C24" s="3">
        <f t="shared" ref="C24:C42" si="4">2 * (1 + 2 *A24) ^ (1/2)</f>
        <v>2.3664319132398464</v>
      </c>
      <c r="D24" s="2">
        <f t="shared" si="3"/>
        <v>1.0485995632346941</v>
      </c>
    </row>
    <row r="25" spans="1:4" ht="18.75">
      <c r="A25" s="4">
        <v>0.3</v>
      </c>
      <c r="B25" s="4">
        <f t="shared" si="0"/>
        <v>0.59104041332267909</v>
      </c>
      <c r="C25" s="3">
        <f t="shared" si="4"/>
        <v>2.5298221281347035</v>
      </c>
      <c r="D25" s="2">
        <f t="shared" si="3"/>
        <v>0.82771876464818961</v>
      </c>
    </row>
    <row r="26" spans="1:4" ht="18.75">
      <c r="A26" s="4">
        <v>0.4</v>
      </c>
      <c r="B26" s="4">
        <f t="shared" si="0"/>
        <v>0.77883668461730104</v>
      </c>
      <c r="C26" s="3">
        <f t="shared" si="4"/>
        <v>2.6832815729997477</v>
      </c>
      <c r="D26" s="2">
        <f t="shared" si="3"/>
        <v>0.64568916490006611</v>
      </c>
    </row>
    <row r="27" spans="1:4" ht="18.75">
      <c r="A27" s="4">
        <v>0.5</v>
      </c>
      <c r="B27" s="4">
        <f t="shared" si="0"/>
        <v>0.95885107720840601</v>
      </c>
      <c r="C27" s="3">
        <f t="shared" si="4"/>
        <v>2.8284271247461903</v>
      </c>
      <c r="D27" s="2">
        <f t="shared" si="3"/>
        <v>0.49717262019158664</v>
      </c>
    </row>
    <row r="28" spans="1:4" ht="18.75">
      <c r="A28" s="4">
        <v>0.6</v>
      </c>
      <c r="B28" s="4">
        <f t="shared" si="0"/>
        <v>1.1292849467900707</v>
      </c>
      <c r="C28" s="3">
        <f t="shared" si="4"/>
        <v>2.9664793948382653</v>
      </c>
      <c r="D28" s="2">
        <f t="shared" si="3"/>
        <v>0.37721552255762492</v>
      </c>
    </row>
    <row r="29" spans="1:4" ht="18.75">
      <c r="A29" s="4">
        <v>0.7</v>
      </c>
      <c r="B29" s="4">
        <f t="shared" si="0"/>
        <v>1.288435374475382</v>
      </c>
      <c r="C29" s="3">
        <f t="shared" si="4"/>
        <v>3.0983866769659336</v>
      </c>
      <c r="D29" s="2">
        <f t="shared" si="3"/>
        <v>0.28132531736141425</v>
      </c>
    </row>
    <row r="30" spans="1:4" ht="18.75">
      <c r="A30" s="4">
        <v>0.8</v>
      </c>
      <c r="B30" s="4">
        <f t="shared" si="0"/>
        <v>1.4347121817990456</v>
      </c>
      <c r="C30" s="3">
        <f t="shared" si="4"/>
        <v>3.2249030993194201</v>
      </c>
      <c r="D30" s="2">
        <f t="shared" si="3"/>
        <v>0.20550287332519301</v>
      </c>
    </row>
    <row r="31" spans="1:4" ht="18.75">
      <c r="A31" s="4">
        <v>0.9</v>
      </c>
      <c r="B31" s="4">
        <f t="shared" si="0"/>
        <v>1.5666538192549668</v>
      </c>
      <c r="C31" s="3">
        <f t="shared" si="4"/>
        <v>3.3466401061363023</v>
      </c>
      <c r="D31" s="2">
        <f t="shared" si="3"/>
        <v>0.14624393119611928</v>
      </c>
    </row>
    <row r="32" spans="1:4" ht="18.75">
      <c r="A32" s="4">
        <v>1</v>
      </c>
      <c r="B32" s="4">
        <f t="shared" si="0"/>
        <v>1.682941969615793</v>
      </c>
      <c r="C32" s="3">
        <f t="shared" si="4"/>
        <v>3.4641016151377544</v>
      </c>
      <c r="D32" s="2">
        <f t="shared" si="3"/>
        <v>0.10051976574971733</v>
      </c>
    </row>
    <row r="33" spans="1:4" ht="18.75">
      <c r="A33" s="4">
        <v>1.1000000000000001</v>
      </c>
      <c r="B33" s="4">
        <f t="shared" si="0"/>
        <v>1.7824147201228708</v>
      </c>
      <c r="C33" s="3">
        <f t="shared" si="4"/>
        <v>3.5777087639996634</v>
      </c>
      <c r="D33" s="3">
        <f>2 * ABS(SIN(3 * A33))</f>
        <v>0.31549138828649731</v>
      </c>
    </row>
    <row r="34" spans="1:4" ht="18.75">
      <c r="A34" s="4">
        <v>1.2</v>
      </c>
      <c r="B34" s="4">
        <f t="shared" si="0"/>
        <v>1.8640781719344526</v>
      </c>
      <c r="C34" s="3">
        <f t="shared" si="4"/>
        <v>3.687817782917155</v>
      </c>
      <c r="D34" s="3">
        <f t="shared" ref="D34:D42" si="5">2 * ABS(SIN(3 * A34))</f>
        <v>0.88504088658970415</v>
      </c>
    </row>
    <row r="35" spans="1:4" ht="18.75">
      <c r="A35" s="4">
        <v>1.3</v>
      </c>
      <c r="B35" s="4">
        <f t="shared" si="0"/>
        <v>1.9271163708343859</v>
      </c>
      <c r="C35" s="3">
        <f t="shared" si="4"/>
        <v>3.7947331922020551</v>
      </c>
      <c r="D35" s="3">
        <f t="shared" si="5"/>
        <v>1.3755323183679482</v>
      </c>
    </row>
    <row r="36" spans="1:4" ht="18.75">
      <c r="A36" s="4">
        <v>1.4</v>
      </c>
      <c r="B36" s="4">
        <f t="shared" si="0"/>
        <v>1.9708994599769203</v>
      </c>
      <c r="C36" s="3">
        <f t="shared" si="4"/>
        <v>3.8987177379235853</v>
      </c>
      <c r="D36" s="3">
        <f t="shared" si="5"/>
        <v>1.7431515448271755</v>
      </c>
    </row>
    <row r="37" spans="1:4" ht="18.75">
      <c r="A37" s="4">
        <v>1.5</v>
      </c>
      <c r="B37" s="4">
        <f t="shared" si="0"/>
        <v>1.9949899732081089</v>
      </c>
      <c r="C37" s="3">
        <f t="shared" si="4"/>
        <v>4</v>
      </c>
      <c r="D37" s="3">
        <f t="shared" si="5"/>
        <v>1.955060235330194</v>
      </c>
    </row>
    <row r="38" spans="1:4" ht="18.75">
      <c r="A38" s="4">
        <v>1.6</v>
      </c>
      <c r="B38" s="4">
        <f t="shared" si="0"/>
        <v>1.9991472060830102</v>
      </c>
      <c r="C38" s="3">
        <f t="shared" si="4"/>
        <v>4.0987803063838397</v>
      </c>
      <c r="D38" s="3">
        <f t="shared" si="5"/>
        <v>1.9923292176716811</v>
      </c>
    </row>
    <row r="39" spans="1:4" ht="18.75">
      <c r="A39" s="4">
        <v>1.7</v>
      </c>
      <c r="B39" s="4">
        <f t="shared" si="0"/>
        <v>1.9833296209049371</v>
      </c>
      <c r="C39" s="3">
        <f t="shared" si="4"/>
        <v>4.1952353926806065</v>
      </c>
      <c r="D39" s="3">
        <f t="shared" si="5"/>
        <v>1.8516293646554649</v>
      </c>
    </row>
    <row r="40" spans="1:4" ht="18.75">
      <c r="A40" s="4">
        <v>1.8</v>
      </c>
      <c r="B40" s="4">
        <f t="shared" si="0"/>
        <v>1.9476952617563903</v>
      </c>
      <c r="C40" s="3">
        <f t="shared" si="4"/>
        <v>4.2895221179054435</v>
      </c>
      <c r="D40" s="3">
        <f t="shared" si="5"/>
        <v>1.5455289751119743</v>
      </c>
    </row>
    <row r="41" spans="1:4" ht="18.75">
      <c r="A41" s="4">
        <v>1.9</v>
      </c>
      <c r="B41" s="4">
        <f t="shared" si="0"/>
        <v>1.8926001753748289</v>
      </c>
      <c r="C41" s="3">
        <f t="shared" si="4"/>
        <v>4.3817804600413286</v>
      </c>
      <c r="D41" s="3">
        <f t="shared" si="5"/>
        <v>1.1013710851952767</v>
      </c>
    </row>
    <row r="42" spans="1:4" ht="18.75">
      <c r="A42" s="4">
        <v>2</v>
      </c>
      <c r="B42" s="4">
        <f t="shared" si="0"/>
        <v>1.8185948536513634</v>
      </c>
      <c r="C42" s="3">
        <f t="shared" si="4"/>
        <v>4.4721359549995796</v>
      </c>
      <c r="D42" s="3">
        <f t="shared" si="5"/>
        <v>0.55883099639785172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2"/>
  <sheetViews>
    <sheetView zoomScale="85" zoomScaleNormal="85" workbookViewId="0">
      <selection activeCell="M3" sqref="M3"/>
    </sheetView>
  </sheetViews>
  <sheetFormatPr defaultRowHeight="18.75"/>
  <cols>
    <col min="1" max="4" width="9.140625" style="4"/>
  </cols>
  <sheetData>
    <row r="1" spans="1:4">
      <c r="B1" s="4" t="s">
        <v>4</v>
      </c>
      <c r="C1" s="4" t="s">
        <v>0</v>
      </c>
      <c r="D1" s="4" t="s">
        <v>1</v>
      </c>
    </row>
    <row r="2" spans="1:4">
      <c r="A2" s="4">
        <v>-20</v>
      </c>
      <c r="B2" s="4">
        <f>A2*PI()/20</f>
        <v>-3.1415926535897931</v>
      </c>
      <c r="C2" s="4">
        <f>COS(B2)</f>
        <v>-1</v>
      </c>
      <c r="D2" s="6">
        <f>SIN(B2) + (ABS(COS(B2))) ^ (1/2)</f>
        <v>0.99999999999999989</v>
      </c>
    </row>
    <row r="3" spans="1:4">
      <c r="A3" s="4">
        <v>-19</v>
      </c>
      <c r="B3" s="4">
        <f t="shared" ref="B3:B66" si="0">A3*PI()/20</f>
        <v>-2.9845130209103035</v>
      </c>
      <c r="C3" s="4">
        <f t="shared" ref="C3:C66" si="1">COS(B3)</f>
        <v>-0.98768834059513766</v>
      </c>
      <c r="D3" s="6">
        <f t="shared" ref="D3:D66" si="2">SIN(B3) + (ABS(COS(B3))) ^ (1/2)</f>
        <v>0.83739064059714308</v>
      </c>
    </row>
    <row r="4" spans="1:4">
      <c r="A4" s="4">
        <v>-18</v>
      </c>
      <c r="B4" s="4">
        <f t="shared" si="0"/>
        <v>-2.8274333882308138</v>
      </c>
      <c r="C4" s="4">
        <f t="shared" si="1"/>
        <v>-0.95105651629515353</v>
      </c>
      <c r="D4" s="6">
        <f t="shared" si="2"/>
        <v>0.66620427092598589</v>
      </c>
    </row>
    <row r="5" spans="1:4">
      <c r="A5" s="4">
        <v>-17</v>
      </c>
      <c r="B5" s="4">
        <f t="shared" si="0"/>
        <v>-2.6703537555513241</v>
      </c>
      <c r="C5" s="4">
        <f t="shared" si="1"/>
        <v>-0.89100652418836779</v>
      </c>
      <c r="D5" s="6">
        <f t="shared" si="2"/>
        <v>0.48994091947922658</v>
      </c>
    </row>
    <row r="6" spans="1:4">
      <c r="A6" s="4">
        <v>-16</v>
      </c>
      <c r="B6" s="4">
        <f t="shared" si="0"/>
        <v>-2.5132741228718345</v>
      </c>
      <c r="C6" s="4">
        <f t="shared" si="1"/>
        <v>-0.80901699437494734</v>
      </c>
      <c r="D6" s="6">
        <f t="shared" si="2"/>
        <v>0.31166846768146039</v>
      </c>
    </row>
    <row r="7" spans="1:4">
      <c r="A7" s="4">
        <v>-15</v>
      </c>
      <c r="B7" s="4">
        <f t="shared" si="0"/>
        <v>-2.3561944901923448</v>
      </c>
      <c r="C7" s="4">
        <f t="shared" si="1"/>
        <v>-0.70710678118654746</v>
      </c>
      <c r="D7" s="6">
        <f t="shared" si="2"/>
        <v>0.13378963406716693</v>
      </c>
    </row>
    <row r="8" spans="1:4">
      <c r="A8" s="4">
        <v>-14</v>
      </c>
      <c r="B8" s="4">
        <f t="shared" si="0"/>
        <v>-2.1991148575128552</v>
      </c>
      <c r="C8" s="4">
        <f t="shared" si="1"/>
        <v>-0.58778525229247303</v>
      </c>
      <c r="D8" s="6">
        <f t="shared" si="2"/>
        <v>-4.2345453040281145E-2</v>
      </c>
    </row>
    <row r="9" spans="1:4">
      <c r="A9" s="4">
        <v>-13</v>
      </c>
      <c r="B9" s="4">
        <f t="shared" si="0"/>
        <v>-2.0420352248333655</v>
      </c>
      <c r="C9" s="4">
        <f t="shared" si="1"/>
        <v>-0.45399049973954669</v>
      </c>
      <c r="D9" s="6">
        <f t="shared" si="2"/>
        <v>-0.21721835292120573</v>
      </c>
    </row>
    <row r="10" spans="1:4">
      <c r="A10" s="4">
        <v>-12</v>
      </c>
      <c r="B10" s="4">
        <f t="shared" si="0"/>
        <v>-1.8849555921538759</v>
      </c>
      <c r="C10" s="4">
        <f t="shared" si="1"/>
        <v>-0.30901699437494734</v>
      </c>
      <c r="D10" s="6">
        <f t="shared" si="2"/>
        <v>-0.39516354604373249</v>
      </c>
    </row>
    <row r="11" spans="1:4">
      <c r="A11" s="4">
        <v>-11</v>
      </c>
      <c r="B11" s="4">
        <f t="shared" si="0"/>
        <v>-1.727875959474386</v>
      </c>
      <c r="C11" s="4">
        <f t="shared" si="1"/>
        <v>-0.15643446504023059</v>
      </c>
      <c r="D11" s="6">
        <f t="shared" si="2"/>
        <v>-0.59217037002966455</v>
      </c>
    </row>
    <row r="12" spans="1:4">
      <c r="A12" s="4">
        <v>-10</v>
      </c>
      <c r="B12" s="4">
        <f t="shared" si="0"/>
        <v>-1.5707963267948966</v>
      </c>
      <c r="C12" s="4">
        <f t="shared" si="1"/>
        <v>6.1257422745431001E-17</v>
      </c>
      <c r="D12" s="6">
        <f t="shared" si="2"/>
        <v>-0.99999999217328783</v>
      </c>
    </row>
    <row r="13" spans="1:4">
      <c r="A13" s="4">
        <v>-9</v>
      </c>
      <c r="B13" s="4">
        <f t="shared" si="0"/>
        <v>-1.4137166941154069</v>
      </c>
      <c r="C13" s="4">
        <f t="shared" si="1"/>
        <v>0.15643446504023092</v>
      </c>
      <c r="D13" s="6">
        <f t="shared" si="2"/>
        <v>-0.59217037002966411</v>
      </c>
    </row>
    <row r="14" spans="1:4">
      <c r="A14" s="4">
        <v>-8</v>
      </c>
      <c r="B14" s="4">
        <f t="shared" si="0"/>
        <v>-1.2566370614359172</v>
      </c>
      <c r="C14" s="4">
        <f t="shared" si="1"/>
        <v>0.30901699437494745</v>
      </c>
      <c r="D14" s="6">
        <f t="shared" si="2"/>
        <v>-0.39516354604373238</v>
      </c>
    </row>
    <row r="15" spans="1:4">
      <c r="A15" s="4">
        <v>-7</v>
      </c>
      <c r="B15" s="4">
        <f t="shared" si="0"/>
        <v>-1.0995574287564276</v>
      </c>
      <c r="C15" s="4">
        <f t="shared" si="1"/>
        <v>0.4539904997395468</v>
      </c>
      <c r="D15" s="6">
        <f t="shared" si="2"/>
        <v>-0.2172183529212055</v>
      </c>
    </row>
    <row r="16" spans="1:4">
      <c r="A16" s="4">
        <v>-6</v>
      </c>
      <c r="B16" s="4">
        <f t="shared" si="0"/>
        <v>-0.94247779607693793</v>
      </c>
      <c r="C16" s="4">
        <f t="shared" si="1"/>
        <v>0.58778525229247314</v>
      </c>
      <c r="D16" s="6">
        <f t="shared" si="2"/>
        <v>-4.2345453040281034E-2</v>
      </c>
    </row>
    <row r="17" spans="1:4">
      <c r="A17" s="4">
        <v>-5</v>
      </c>
      <c r="B17" s="4">
        <f t="shared" si="0"/>
        <v>-0.78539816339744828</v>
      </c>
      <c r="C17" s="4">
        <f t="shared" si="1"/>
        <v>0.70710678118654757</v>
      </c>
      <c r="D17" s="6">
        <f t="shared" si="2"/>
        <v>0.13378963406716715</v>
      </c>
    </row>
    <row r="18" spans="1:4">
      <c r="A18" s="4">
        <v>-4</v>
      </c>
      <c r="B18" s="4">
        <f t="shared" si="0"/>
        <v>-0.62831853071795862</v>
      </c>
      <c r="C18" s="4">
        <f t="shared" si="1"/>
        <v>0.80901699437494745</v>
      </c>
      <c r="D18" s="6">
        <f t="shared" si="2"/>
        <v>0.3116684676814605</v>
      </c>
    </row>
    <row r="19" spans="1:4">
      <c r="A19" s="4">
        <v>-3</v>
      </c>
      <c r="B19" s="4">
        <f t="shared" si="0"/>
        <v>-0.47123889803846897</v>
      </c>
      <c r="C19" s="4">
        <f t="shared" si="1"/>
        <v>0.8910065241883679</v>
      </c>
      <c r="D19" s="6">
        <f t="shared" si="2"/>
        <v>0.48994091947922669</v>
      </c>
    </row>
    <row r="20" spans="1:4">
      <c r="A20" s="4">
        <v>-2</v>
      </c>
      <c r="B20" s="4">
        <f t="shared" si="0"/>
        <v>-0.31415926535897931</v>
      </c>
      <c r="C20" s="4">
        <f t="shared" si="1"/>
        <v>0.95105651629515353</v>
      </c>
      <c r="D20" s="6">
        <f t="shared" si="2"/>
        <v>0.66620427092598611</v>
      </c>
    </row>
    <row r="21" spans="1:4">
      <c r="A21" s="4">
        <v>-1</v>
      </c>
      <c r="B21" s="4">
        <f t="shared" si="0"/>
        <v>-0.15707963267948966</v>
      </c>
      <c r="C21" s="4">
        <f t="shared" si="1"/>
        <v>0.98768834059513777</v>
      </c>
      <c r="D21" s="6">
        <f t="shared" si="2"/>
        <v>0.8373906405971433</v>
      </c>
    </row>
    <row r="22" spans="1:4">
      <c r="A22" s="4">
        <v>0</v>
      </c>
      <c r="B22" s="4">
        <f t="shared" si="0"/>
        <v>0</v>
      </c>
      <c r="C22" s="4">
        <f t="shared" si="1"/>
        <v>1</v>
      </c>
      <c r="D22" s="6">
        <f t="shared" si="2"/>
        <v>1</v>
      </c>
    </row>
    <row r="23" spans="1:4">
      <c r="A23" s="4">
        <v>1</v>
      </c>
      <c r="B23" s="4">
        <f t="shared" si="0"/>
        <v>0.15707963267948966</v>
      </c>
      <c r="C23" s="4">
        <f t="shared" si="1"/>
        <v>0.98768834059513777</v>
      </c>
      <c r="D23" s="6">
        <f t="shared" si="2"/>
        <v>1.1502595706776051</v>
      </c>
    </row>
    <row r="24" spans="1:4">
      <c r="A24" s="4">
        <v>2</v>
      </c>
      <c r="B24" s="4">
        <f t="shared" si="0"/>
        <v>0.31415926535897931</v>
      </c>
      <c r="C24" s="4">
        <f t="shared" si="1"/>
        <v>0.95105651629515353</v>
      </c>
      <c r="D24" s="6">
        <f t="shared" si="2"/>
        <v>1.2842382596758808</v>
      </c>
    </row>
    <row r="25" spans="1:4">
      <c r="A25" s="4">
        <v>3</v>
      </c>
      <c r="B25" s="4">
        <f t="shared" si="0"/>
        <v>0.47123889803846897</v>
      </c>
      <c r="C25" s="4">
        <f t="shared" si="1"/>
        <v>0.8910065241883679</v>
      </c>
      <c r="D25" s="6">
        <f t="shared" si="2"/>
        <v>1.3979219189583203</v>
      </c>
    </row>
    <row r="26" spans="1:4">
      <c r="A26" s="4">
        <v>4</v>
      </c>
      <c r="B26" s="4">
        <f t="shared" si="0"/>
        <v>0.62831853071795862</v>
      </c>
      <c r="C26" s="4">
        <f t="shared" si="1"/>
        <v>0.80901699437494745</v>
      </c>
      <c r="D26" s="6">
        <f t="shared" si="2"/>
        <v>1.4872389722664068</v>
      </c>
    </row>
    <row r="27" spans="1:4">
      <c r="A27" s="4">
        <v>5</v>
      </c>
      <c r="B27" s="4">
        <f t="shared" si="0"/>
        <v>0.78539816339744828</v>
      </c>
      <c r="C27" s="4">
        <f t="shared" si="1"/>
        <v>0.70710678118654757</v>
      </c>
      <c r="D27" s="6">
        <f t="shared" si="2"/>
        <v>1.5480031964402621</v>
      </c>
    </row>
    <row r="28" spans="1:4">
      <c r="A28" s="4">
        <v>6</v>
      </c>
      <c r="B28" s="4">
        <f t="shared" si="0"/>
        <v>0.94247779607693793</v>
      </c>
      <c r="C28" s="4">
        <f t="shared" si="1"/>
        <v>0.58778525229247314</v>
      </c>
      <c r="D28" s="6">
        <f t="shared" si="2"/>
        <v>1.575688535709614</v>
      </c>
    </row>
    <row r="29" spans="1:4">
      <c r="A29" s="4">
        <v>7</v>
      </c>
      <c r="B29" s="4">
        <f t="shared" si="0"/>
        <v>1.0995574287564276</v>
      </c>
      <c r="C29" s="4">
        <f t="shared" si="1"/>
        <v>0.4539904997395468</v>
      </c>
      <c r="D29" s="6">
        <f t="shared" si="2"/>
        <v>1.5647946954555301</v>
      </c>
    </row>
    <row r="30" spans="1:4">
      <c r="A30" s="4">
        <v>8</v>
      </c>
      <c r="B30" s="4">
        <f t="shared" si="0"/>
        <v>1.2566370614359172</v>
      </c>
      <c r="C30" s="4">
        <f t="shared" si="1"/>
        <v>0.30901699437494745</v>
      </c>
      <c r="D30" s="6">
        <f t="shared" si="2"/>
        <v>1.5069494865465747</v>
      </c>
    </row>
    <row r="31" spans="1:4">
      <c r="A31" s="4">
        <v>9</v>
      </c>
      <c r="B31" s="4">
        <f t="shared" si="0"/>
        <v>1.4137166941154069</v>
      </c>
      <c r="C31" s="4">
        <f t="shared" si="1"/>
        <v>0.15643446504023092</v>
      </c>
      <c r="D31" s="6">
        <f t="shared" si="2"/>
        <v>1.3832063111606114</v>
      </c>
    </row>
    <row r="32" spans="1:4">
      <c r="A32" s="4">
        <v>10</v>
      </c>
      <c r="B32" s="4">
        <f t="shared" si="0"/>
        <v>1.5707963267948966</v>
      </c>
      <c r="C32" s="4">
        <f t="shared" si="1"/>
        <v>6.1257422745431001E-17</v>
      </c>
      <c r="D32" s="6">
        <f t="shared" si="2"/>
        <v>1.0000000078267122</v>
      </c>
    </row>
    <row r="33" spans="1:4">
      <c r="A33" s="4">
        <v>11</v>
      </c>
      <c r="B33" s="4">
        <f t="shared" si="0"/>
        <v>1.727875959474386</v>
      </c>
      <c r="C33" s="4">
        <f t="shared" si="1"/>
        <v>-0.15643446504023059</v>
      </c>
      <c r="D33" s="6">
        <f t="shared" si="2"/>
        <v>1.383206311160611</v>
      </c>
    </row>
    <row r="34" spans="1:4">
      <c r="A34" s="4">
        <v>12</v>
      </c>
      <c r="B34" s="4">
        <f t="shared" si="0"/>
        <v>1.8849555921538759</v>
      </c>
      <c r="C34" s="4">
        <f t="shared" si="1"/>
        <v>-0.30901699437494734</v>
      </c>
      <c r="D34" s="6">
        <f t="shared" si="2"/>
        <v>1.5069494865465747</v>
      </c>
    </row>
    <row r="35" spans="1:4">
      <c r="A35" s="4">
        <v>13</v>
      </c>
      <c r="B35" s="4">
        <f t="shared" si="0"/>
        <v>2.0420352248333655</v>
      </c>
      <c r="C35" s="4">
        <f t="shared" si="1"/>
        <v>-0.45399049973954669</v>
      </c>
      <c r="D35" s="6">
        <f t="shared" si="2"/>
        <v>1.5647946954555301</v>
      </c>
    </row>
    <row r="36" spans="1:4">
      <c r="A36" s="4">
        <v>14</v>
      </c>
      <c r="B36" s="4">
        <f t="shared" si="0"/>
        <v>2.1991148575128552</v>
      </c>
      <c r="C36" s="4">
        <f t="shared" si="1"/>
        <v>-0.58778525229247303</v>
      </c>
      <c r="D36" s="6">
        <f t="shared" si="2"/>
        <v>1.5756885357096138</v>
      </c>
    </row>
    <row r="37" spans="1:4">
      <c r="A37" s="4">
        <v>15</v>
      </c>
      <c r="B37" s="4">
        <f t="shared" si="0"/>
        <v>2.3561944901923448</v>
      </c>
      <c r="C37" s="4">
        <f t="shared" si="1"/>
        <v>-0.70710678118654746</v>
      </c>
      <c r="D37" s="6">
        <f t="shared" si="2"/>
        <v>1.5480031964402621</v>
      </c>
    </row>
    <row r="38" spans="1:4">
      <c r="A38" s="4">
        <v>16</v>
      </c>
      <c r="B38" s="4">
        <f t="shared" si="0"/>
        <v>2.5132741228718345</v>
      </c>
      <c r="C38" s="4">
        <f t="shared" si="1"/>
        <v>-0.80901699437494734</v>
      </c>
      <c r="D38" s="6">
        <f t="shared" si="2"/>
        <v>1.487238972266407</v>
      </c>
    </row>
    <row r="39" spans="1:4">
      <c r="A39" s="4">
        <v>17</v>
      </c>
      <c r="B39" s="4">
        <f t="shared" si="0"/>
        <v>2.6703537555513241</v>
      </c>
      <c r="C39" s="4">
        <f t="shared" si="1"/>
        <v>-0.89100652418836779</v>
      </c>
      <c r="D39" s="6">
        <f t="shared" si="2"/>
        <v>1.3979219189583203</v>
      </c>
    </row>
    <row r="40" spans="1:4">
      <c r="A40" s="4">
        <v>18</v>
      </c>
      <c r="B40" s="4">
        <f t="shared" si="0"/>
        <v>2.8274333882308138</v>
      </c>
      <c r="C40" s="4">
        <f t="shared" si="1"/>
        <v>-0.95105651629515353</v>
      </c>
      <c r="D40" s="6">
        <f t="shared" si="2"/>
        <v>1.284238259675881</v>
      </c>
    </row>
    <row r="41" spans="1:4">
      <c r="A41" s="4">
        <v>19</v>
      </c>
      <c r="B41" s="4">
        <f t="shared" si="0"/>
        <v>2.9845130209103035</v>
      </c>
      <c r="C41" s="4">
        <f t="shared" si="1"/>
        <v>-0.98768834059513766</v>
      </c>
      <c r="D41" s="6">
        <f t="shared" si="2"/>
        <v>1.1502595706776051</v>
      </c>
    </row>
    <row r="42" spans="1:4">
      <c r="A42" s="4">
        <v>20</v>
      </c>
      <c r="B42" s="4">
        <f t="shared" si="0"/>
        <v>3.1415926535897931</v>
      </c>
      <c r="C42" s="4">
        <f t="shared" si="1"/>
        <v>-1</v>
      </c>
      <c r="D42" s="6">
        <f t="shared" si="2"/>
        <v>1.0000000000000002</v>
      </c>
    </row>
    <row r="43" spans="1:4">
      <c r="A43" s="4">
        <v>21</v>
      </c>
      <c r="B43" s="4">
        <f t="shared" si="0"/>
        <v>3.2986722862692828</v>
      </c>
      <c r="C43" s="4">
        <f t="shared" si="1"/>
        <v>-0.98768834059513777</v>
      </c>
      <c r="D43" s="6">
        <f t="shared" si="2"/>
        <v>0.83739064059714341</v>
      </c>
    </row>
    <row r="44" spans="1:4">
      <c r="A44" s="4">
        <v>22</v>
      </c>
      <c r="B44" s="4">
        <f t="shared" si="0"/>
        <v>3.455751918948772</v>
      </c>
      <c r="C44" s="4">
        <f t="shared" si="1"/>
        <v>-0.95105651629515375</v>
      </c>
      <c r="D44" s="6">
        <f t="shared" si="2"/>
        <v>0.66620427092598666</v>
      </c>
    </row>
    <row r="45" spans="1:4">
      <c r="A45" s="4">
        <v>23</v>
      </c>
      <c r="B45" s="4">
        <f t="shared" si="0"/>
        <v>3.6128315516282621</v>
      </c>
      <c r="C45" s="4">
        <f t="shared" si="1"/>
        <v>-0.8910065241883679</v>
      </c>
      <c r="D45" s="6">
        <f t="shared" si="2"/>
        <v>0.48994091947922674</v>
      </c>
    </row>
    <row r="46" spans="1:4">
      <c r="A46" s="4">
        <v>24</v>
      </c>
      <c r="B46" s="4">
        <f t="shared" si="0"/>
        <v>3.7699111843077517</v>
      </c>
      <c r="C46" s="4">
        <f t="shared" si="1"/>
        <v>-0.80901699437494756</v>
      </c>
      <c r="D46" s="6">
        <f t="shared" si="2"/>
        <v>0.31166846768146073</v>
      </c>
    </row>
    <row r="47" spans="1:4">
      <c r="A47" s="4">
        <v>25</v>
      </c>
      <c r="B47" s="4">
        <f t="shared" si="0"/>
        <v>3.9269908169872414</v>
      </c>
      <c r="C47" s="4">
        <f t="shared" si="1"/>
        <v>-0.70710678118654768</v>
      </c>
      <c r="D47" s="6">
        <f t="shared" si="2"/>
        <v>0.13378963406716715</v>
      </c>
    </row>
    <row r="48" spans="1:4">
      <c r="A48" s="4">
        <v>26</v>
      </c>
      <c r="B48" s="4">
        <f t="shared" si="0"/>
        <v>4.0840704496667311</v>
      </c>
      <c r="C48" s="4">
        <f t="shared" si="1"/>
        <v>-0.58778525229247325</v>
      </c>
      <c r="D48" s="6">
        <f t="shared" si="2"/>
        <v>-4.2345453040280812E-2</v>
      </c>
    </row>
    <row r="49" spans="1:4">
      <c r="A49" s="4">
        <v>27</v>
      </c>
      <c r="B49" s="4">
        <f t="shared" si="0"/>
        <v>4.2411500823462207</v>
      </c>
      <c r="C49" s="4">
        <f t="shared" si="1"/>
        <v>-0.45399049973954692</v>
      </c>
      <c r="D49" s="6">
        <f t="shared" si="2"/>
        <v>-0.21721835292120539</v>
      </c>
    </row>
    <row r="50" spans="1:4">
      <c r="A50" s="4">
        <v>28</v>
      </c>
      <c r="B50" s="4">
        <f t="shared" si="0"/>
        <v>4.3982297150257104</v>
      </c>
      <c r="C50" s="4">
        <f t="shared" si="1"/>
        <v>-0.30901699437494756</v>
      </c>
      <c r="D50" s="6">
        <f t="shared" si="2"/>
        <v>-0.39516354604373227</v>
      </c>
    </row>
    <row r="51" spans="1:4">
      <c r="A51" s="4">
        <v>29</v>
      </c>
      <c r="B51" s="4">
        <f t="shared" si="0"/>
        <v>4.5553093477052</v>
      </c>
      <c r="C51" s="4">
        <f t="shared" si="1"/>
        <v>-0.15643446504023104</v>
      </c>
      <c r="D51" s="6">
        <f t="shared" si="2"/>
        <v>-0.59217037002966388</v>
      </c>
    </row>
    <row r="52" spans="1:4">
      <c r="A52" s="4">
        <v>30</v>
      </c>
      <c r="B52" s="4">
        <f t="shared" si="0"/>
        <v>4.7123889803846897</v>
      </c>
      <c r="C52" s="4">
        <f t="shared" si="1"/>
        <v>-1.83772268236293E-16</v>
      </c>
      <c r="D52" s="6">
        <f t="shared" si="2"/>
        <v>-0.99999998644373689</v>
      </c>
    </row>
    <row r="53" spans="1:4">
      <c r="A53" s="4">
        <v>31</v>
      </c>
      <c r="B53" s="4">
        <f t="shared" si="0"/>
        <v>4.8694686130641793</v>
      </c>
      <c r="C53" s="4">
        <f t="shared" si="1"/>
        <v>0.15643446504023067</v>
      </c>
      <c r="D53" s="6">
        <f t="shared" si="2"/>
        <v>-0.59217037002966433</v>
      </c>
    </row>
    <row r="54" spans="1:4">
      <c r="A54" s="4">
        <v>32</v>
      </c>
      <c r="B54" s="4">
        <f t="shared" si="0"/>
        <v>5.026548245743669</v>
      </c>
      <c r="C54" s="4">
        <f t="shared" si="1"/>
        <v>0.30901699437494723</v>
      </c>
      <c r="D54" s="6">
        <f t="shared" si="2"/>
        <v>-0.39516354604373261</v>
      </c>
    </row>
    <row r="55" spans="1:4">
      <c r="A55" s="4">
        <v>33</v>
      </c>
      <c r="B55" s="4">
        <f t="shared" si="0"/>
        <v>5.1836278784231586</v>
      </c>
      <c r="C55" s="4">
        <f t="shared" si="1"/>
        <v>0.45399049973954664</v>
      </c>
      <c r="D55" s="6">
        <f t="shared" si="2"/>
        <v>-0.21721835292120573</v>
      </c>
    </row>
    <row r="56" spans="1:4">
      <c r="A56" s="4">
        <v>34</v>
      </c>
      <c r="B56" s="4">
        <f t="shared" si="0"/>
        <v>5.3407075111026483</v>
      </c>
      <c r="C56" s="4">
        <f t="shared" si="1"/>
        <v>0.58778525229247292</v>
      </c>
      <c r="D56" s="6">
        <f t="shared" si="2"/>
        <v>-4.2345453040281256E-2</v>
      </c>
    </row>
    <row r="57" spans="1:4">
      <c r="A57" s="4">
        <v>35</v>
      </c>
      <c r="B57" s="4">
        <f t="shared" si="0"/>
        <v>5.497787143782138</v>
      </c>
      <c r="C57" s="4">
        <f t="shared" si="1"/>
        <v>0.70710678118654735</v>
      </c>
      <c r="D57" s="6">
        <f t="shared" si="2"/>
        <v>0.13378963406716671</v>
      </c>
    </row>
    <row r="58" spans="1:4">
      <c r="A58" s="4">
        <v>36</v>
      </c>
      <c r="B58" s="4">
        <f t="shared" si="0"/>
        <v>5.6548667764616276</v>
      </c>
      <c r="C58" s="4">
        <f t="shared" si="1"/>
        <v>0.80901699437494734</v>
      </c>
      <c r="D58" s="6">
        <f t="shared" si="2"/>
        <v>0.31166846768146028</v>
      </c>
    </row>
    <row r="59" spans="1:4">
      <c r="A59" s="4">
        <v>37</v>
      </c>
      <c r="B59" s="4">
        <f t="shared" si="0"/>
        <v>5.8119464091411173</v>
      </c>
      <c r="C59" s="4">
        <f t="shared" si="1"/>
        <v>0.89100652418836779</v>
      </c>
      <c r="D59" s="6">
        <f t="shared" si="2"/>
        <v>0.48994091947922647</v>
      </c>
    </row>
    <row r="60" spans="1:4">
      <c r="A60" s="4">
        <v>38</v>
      </c>
      <c r="B60" s="4">
        <f t="shared" si="0"/>
        <v>5.9690260418206069</v>
      </c>
      <c r="C60" s="4">
        <f t="shared" si="1"/>
        <v>0.95105651629515353</v>
      </c>
      <c r="D60" s="6">
        <f t="shared" si="2"/>
        <v>0.66620427092598589</v>
      </c>
    </row>
    <row r="61" spans="1:4">
      <c r="A61" s="4">
        <v>39</v>
      </c>
      <c r="B61" s="4">
        <f t="shared" si="0"/>
        <v>6.1261056745000966</v>
      </c>
      <c r="C61" s="4">
        <f t="shared" si="1"/>
        <v>0.98768834059513766</v>
      </c>
      <c r="D61" s="6">
        <f t="shared" si="2"/>
        <v>0.83739064059714297</v>
      </c>
    </row>
    <row r="62" spans="1:4">
      <c r="A62" s="4">
        <v>40</v>
      </c>
      <c r="B62" s="4">
        <f t="shared" si="0"/>
        <v>6.2831853071795862</v>
      </c>
      <c r="C62" s="4">
        <f t="shared" si="1"/>
        <v>1</v>
      </c>
      <c r="D62" s="6">
        <f t="shared" si="2"/>
        <v>0.99999999999999978</v>
      </c>
    </row>
    <row r="63" spans="1:4">
      <c r="A63" s="4">
        <v>41</v>
      </c>
      <c r="B63" s="4">
        <f t="shared" si="0"/>
        <v>6.440264939859075</v>
      </c>
      <c r="C63" s="4">
        <f t="shared" si="1"/>
        <v>0.98768834059513788</v>
      </c>
      <c r="D63" s="6">
        <f t="shared" si="2"/>
        <v>1.150259570677604</v>
      </c>
    </row>
    <row r="64" spans="1:4">
      <c r="A64" s="4">
        <v>42</v>
      </c>
      <c r="B64" s="4">
        <f t="shared" si="0"/>
        <v>6.5973445725385655</v>
      </c>
      <c r="C64" s="4">
        <f t="shared" si="1"/>
        <v>0.95105651629515364</v>
      </c>
      <c r="D64" s="6">
        <f t="shared" si="2"/>
        <v>1.2842382596758806</v>
      </c>
    </row>
    <row r="65" spans="1:4">
      <c r="A65" s="4">
        <v>43</v>
      </c>
      <c r="B65" s="4">
        <f t="shared" si="0"/>
        <v>6.7544242052180552</v>
      </c>
      <c r="C65" s="4">
        <f t="shared" si="1"/>
        <v>0.89100652418836801</v>
      </c>
      <c r="D65" s="6">
        <f t="shared" si="2"/>
        <v>1.3979219189583201</v>
      </c>
    </row>
    <row r="66" spans="1:4">
      <c r="A66" s="4">
        <v>44</v>
      </c>
      <c r="B66" s="4">
        <f t="shared" si="0"/>
        <v>6.911503837897544</v>
      </c>
      <c r="C66" s="4">
        <f t="shared" si="1"/>
        <v>0.80901699437494812</v>
      </c>
      <c r="D66" s="6">
        <f t="shared" si="2"/>
        <v>1.4872389722664061</v>
      </c>
    </row>
    <row r="67" spans="1:4">
      <c r="A67" s="4">
        <v>45</v>
      </c>
      <c r="B67" s="4">
        <f t="shared" ref="B67:B82" si="3">A67*PI()/20</f>
        <v>7.0685834705770345</v>
      </c>
      <c r="C67" s="4">
        <f t="shared" ref="C67:C82" si="4">COS(B67)</f>
        <v>0.70710678118654768</v>
      </c>
      <c r="D67" s="6">
        <f t="shared" ref="D67:D82" si="5">SIN(B67) + (ABS(COS(B67))) ^ (1/2)</f>
        <v>1.5480031964402619</v>
      </c>
    </row>
    <row r="68" spans="1:4">
      <c r="A68" s="4">
        <v>46</v>
      </c>
      <c r="B68" s="4">
        <f t="shared" si="3"/>
        <v>7.2256631032565242</v>
      </c>
      <c r="C68" s="4">
        <f t="shared" si="4"/>
        <v>0.58778525229247336</v>
      </c>
      <c r="D68" s="6">
        <f t="shared" si="5"/>
        <v>1.5756885357096138</v>
      </c>
    </row>
    <row r="69" spans="1:4">
      <c r="A69" s="4">
        <v>47</v>
      </c>
      <c r="B69" s="4">
        <f t="shared" si="3"/>
        <v>7.3827427359360147</v>
      </c>
      <c r="C69" s="4">
        <f t="shared" si="4"/>
        <v>0.45399049973954625</v>
      </c>
      <c r="D69" s="6">
        <f t="shared" si="5"/>
        <v>1.5647946954555301</v>
      </c>
    </row>
    <row r="70" spans="1:4">
      <c r="A70" s="4">
        <v>48</v>
      </c>
      <c r="B70" s="4">
        <f t="shared" si="3"/>
        <v>7.5398223686155035</v>
      </c>
      <c r="C70" s="4">
        <f t="shared" si="4"/>
        <v>0.30901699437494773</v>
      </c>
      <c r="D70" s="6">
        <f t="shared" si="5"/>
        <v>1.5069494865465751</v>
      </c>
    </row>
    <row r="71" spans="1:4">
      <c r="A71" s="4">
        <v>49</v>
      </c>
      <c r="B71" s="4">
        <f t="shared" si="3"/>
        <v>7.6969020012949922</v>
      </c>
      <c r="C71" s="4">
        <f t="shared" si="4"/>
        <v>0.15643446504023203</v>
      </c>
      <c r="D71" s="6">
        <f t="shared" si="5"/>
        <v>1.3832063111606128</v>
      </c>
    </row>
    <row r="72" spans="1:4">
      <c r="A72" s="4">
        <v>50</v>
      </c>
      <c r="B72" s="4">
        <f t="shared" si="3"/>
        <v>7.8539816339744828</v>
      </c>
      <c r="C72" s="4">
        <f t="shared" si="4"/>
        <v>3.06287113727155E-16</v>
      </c>
      <c r="D72" s="6">
        <f t="shared" si="5"/>
        <v>1.0000000175010604</v>
      </c>
    </row>
    <row r="73" spans="1:4">
      <c r="A73" s="4">
        <v>51</v>
      </c>
      <c r="B73" s="4">
        <f t="shared" si="3"/>
        <v>8.0110612666539716</v>
      </c>
      <c r="C73" s="4">
        <f t="shared" si="4"/>
        <v>-0.15643446504022968</v>
      </c>
      <c r="D73" s="6">
        <f t="shared" si="5"/>
        <v>1.3832063111606101</v>
      </c>
    </row>
    <row r="74" spans="1:4">
      <c r="A74" s="4">
        <v>52</v>
      </c>
      <c r="B74" s="4">
        <f t="shared" si="3"/>
        <v>8.1681408993334621</v>
      </c>
      <c r="C74" s="4">
        <f t="shared" si="4"/>
        <v>-0.30901699437494712</v>
      </c>
      <c r="D74" s="6">
        <f t="shared" si="5"/>
        <v>1.5069494865465747</v>
      </c>
    </row>
    <row r="75" spans="1:4">
      <c r="A75" s="4">
        <v>53</v>
      </c>
      <c r="B75" s="4">
        <f t="shared" si="3"/>
        <v>8.3252205320129526</v>
      </c>
      <c r="C75" s="4">
        <f t="shared" si="4"/>
        <v>-0.4539904997395473</v>
      </c>
      <c r="D75" s="6">
        <f t="shared" si="5"/>
        <v>1.5647946954555301</v>
      </c>
    </row>
    <row r="76" spans="1:4">
      <c r="A76" s="4">
        <v>54</v>
      </c>
      <c r="B76" s="4">
        <f t="shared" si="3"/>
        <v>8.4823001646924414</v>
      </c>
      <c r="C76" s="4">
        <f t="shared" si="4"/>
        <v>-0.58778525229247292</v>
      </c>
      <c r="D76" s="6">
        <f t="shared" si="5"/>
        <v>1.575688535709614</v>
      </c>
    </row>
    <row r="77" spans="1:4">
      <c r="A77" s="4">
        <v>55</v>
      </c>
      <c r="B77" s="4">
        <f t="shared" si="3"/>
        <v>8.639379797371932</v>
      </c>
      <c r="C77" s="4">
        <f t="shared" si="4"/>
        <v>-0.70710678118654791</v>
      </c>
      <c r="D77" s="6">
        <f t="shared" si="5"/>
        <v>1.5480031964402619</v>
      </c>
    </row>
    <row r="78" spans="1:4">
      <c r="A78" s="4">
        <v>56</v>
      </c>
      <c r="B78" s="4">
        <f t="shared" si="3"/>
        <v>8.7964594300514207</v>
      </c>
      <c r="C78" s="4">
        <f t="shared" si="4"/>
        <v>-0.80901699437494723</v>
      </c>
      <c r="D78" s="6">
        <f t="shared" si="5"/>
        <v>1.487238972266407</v>
      </c>
    </row>
    <row r="79" spans="1:4">
      <c r="A79" s="4">
        <v>57</v>
      </c>
      <c r="B79" s="4">
        <f t="shared" si="3"/>
        <v>8.9535390627309095</v>
      </c>
      <c r="C79" s="4">
        <f t="shared" si="4"/>
        <v>-0.89100652418836734</v>
      </c>
      <c r="D79" s="6">
        <f t="shared" si="5"/>
        <v>1.3979219189583212</v>
      </c>
    </row>
    <row r="80" spans="1:4">
      <c r="A80" s="4">
        <v>58</v>
      </c>
      <c r="B80" s="4">
        <f t="shared" si="3"/>
        <v>9.1106186954104</v>
      </c>
      <c r="C80" s="4">
        <f t="shared" si="4"/>
        <v>-0.95105651629515342</v>
      </c>
      <c r="D80" s="6">
        <f t="shared" si="5"/>
        <v>1.284238259675881</v>
      </c>
    </row>
    <row r="81" spans="1:4">
      <c r="A81" s="4">
        <v>59</v>
      </c>
      <c r="B81" s="4">
        <f t="shared" si="3"/>
        <v>9.2676983280898888</v>
      </c>
      <c r="C81" s="4">
        <f t="shared" si="4"/>
        <v>-0.98768834059513755</v>
      </c>
      <c r="D81" s="6">
        <f t="shared" si="5"/>
        <v>1.1502595706776062</v>
      </c>
    </row>
    <row r="82" spans="1:4">
      <c r="A82" s="4">
        <v>60</v>
      </c>
      <c r="B82" s="4">
        <f t="shared" si="3"/>
        <v>9.4247779607693793</v>
      </c>
      <c r="C82" s="4">
        <f t="shared" si="4"/>
        <v>-1</v>
      </c>
      <c r="D82" s="6">
        <f t="shared" si="5"/>
        <v>1.0000000000000004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L27" sqref="L27"/>
    </sheetView>
  </sheetViews>
  <sheetFormatPr defaultRowHeight="15"/>
  <cols>
    <col min="2" max="2" width="13.140625" bestFit="1" customWidth="1"/>
    <col min="3" max="3" width="10.140625" bestFit="1" customWidth="1"/>
  </cols>
  <sheetData>
    <row r="1" spans="1:4">
      <c r="A1" s="7" t="s">
        <v>5</v>
      </c>
      <c r="B1" s="7"/>
      <c r="C1" s="7"/>
      <c r="D1" s="7"/>
    </row>
    <row r="2" spans="1:4">
      <c r="A2" s="1" t="s">
        <v>6</v>
      </c>
      <c r="B2" s="1" t="s">
        <v>7</v>
      </c>
      <c r="C2" s="1" t="s">
        <v>8</v>
      </c>
      <c r="D2" s="1" t="s">
        <v>9</v>
      </c>
    </row>
    <row r="3" spans="1:4">
      <c r="A3" s="1">
        <v>2001</v>
      </c>
      <c r="B3" s="1">
        <v>3.3</v>
      </c>
      <c r="C3" s="1">
        <v>746</v>
      </c>
      <c r="D3" s="1">
        <v>545</v>
      </c>
    </row>
    <row r="4" spans="1:4">
      <c r="A4" s="1">
        <v>2002</v>
      </c>
      <c r="B4" s="1">
        <v>2.8</v>
      </c>
      <c r="C4" s="1">
        <v>745</v>
      </c>
      <c r="D4" s="1">
        <v>567</v>
      </c>
    </row>
    <row r="5" spans="1:4">
      <c r="A5" s="1">
        <v>2003</v>
      </c>
      <c r="B5" s="1">
        <v>3.7</v>
      </c>
      <c r="C5" s="1">
        <v>747</v>
      </c>
      <c r="D5" s="1">
        <v>570</v>
      </c>
    </row>
    <row r="6" spans="1:4">
      <c r="A6" s="1">
        <v>2004</v>
      </c>
      <c r="B6" s="1">
        <v>3.6</v>
      </c>
      <c r="C6" s="1">
        <v>746</v>
      </c>
      <c r="D6" s="1">
        <v>551</v>
      </c>
    </row>
    <row r="7" spans="1:4">
      <c r="A7" s="1">
        <v>2005</v>
      </c>
      <c r="B7" s="1">
        <v>3.7</v>
      </c>
      <c r="C7" s="1">
        <v>749</v>
      </c>
      <c r="D7" s="1">
        <v>552</v>
      </c>
    </row>
    <row r="8" spans="1:4">
      <c r="A8" s="1">
        <v>2006</v>
      </c>
      <c r="B8" s="1">
        <v>3</v>
      </c>
      <c r="C8" s="1">
        <v>747</v>
      </c>
      <c r="D8" s="1">
        <v>549</v>
      </c>
    </row>
    <row r="9" spans="1:4">
      <c r="A9" s="1">
        <v>2007</v>
      </c>
      <c r="B9" s="1">
        <v>3.4</v>
      </c>
      <c r="C9" s="1">
        <v>745</v>
      </c>
      <c r="D9" s="1">
        <v>563</v>
      </c>
    </row>
    <row r="10" spans="1:4">
      <c r="A10" s="1">
        <v>2008</v>
      </c>
      <c r="B10" s="1">
        <v>4.5</v>
      </c>
      <c r="C10" s="1">
        <v>747</v>
      </c>
      <c r="D10" s="1">
        <v>567</v>
      </c>
    </row>
    <row r="11" spans="1:4">
      <c r="A11" s="1">
        <v>2009</v>
      </c>
      <c r="B11" s="1">
        <v>3.3</v>
      </c>
      <c r="C11" s="1">
        <v>748</v>
      </c>
      <c r="D11" s="1">
        <v>568</v>
      </c>
    </row>
    <row r="12" spans="1:4">
      <c r="A12" s="1">
        <v>2010</v>
      </c>
      <c r="B12" s="1">
        <v>3.7</v>
      </c>
      <c r="C12" s="1">
        <v>750</v>
      </c>
      <c r="D12" s="1">
        <v>555</v>
      </c>
    </row>
    <row r="13" spans="1:4">
      <c r="A13" s="1"/>
      <c r="B13" s="1"/>
      <c r="C13" s="1"/>
      <c r="D13" s="1"/>
    </row>
    <row r="14" spans="1:4">
      <c r="A14" s="1"/>
      <c r="B14" s="1" t="s">
        <v>10</v>
      </c>
      <c r="C14" s="1" t="s">
        <v>11</v>
      </c>
      <c r="D14" s="1" t="s">
        <v>12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"/>
  <sheetViews>
    <sheetView topLeftCell="A3" zoomScale="85" zoomScaleNormal="85" workbookViewId="0">
      <selection activeCell="O18" sqref="O18"/>
    </sheetView>
  </sheetViews>
  <sheetFormatPr defaultRowHeight="18.75"/>
  <cols>
    <col min="1" max="3" width="9.140625" style="4"/>
    <col min="4" max="4" width="9.140625" style="4" customWidth="1"/>
  </cols>
  <sheetData>
    <row r="1" spans="1:4">
      <c r="A1" s="4" t="s">
        <v>0</v>
      </c>
    </row>
    <row r="2" spans="1:4">
      <c r="A2" s="4">
        <v>0</v>
      </c>
      <c r="B2" s="4">
        <f>A2^2 -1</f>
        <v>-1</v>
      </c>
      <c r="C2" s="5">
        <f>EXP(1) ^ (A2 - COS(A2))</f>
        <v>0.36787944117144233</v>
      </c>
      <c r="D2" s="5" t="e">
        <f>LN(A2)</f>
        <v>#NUM!</v>
      </c>
    </row>
    <row r="3" spans="1:4">
      <c r="A3" s="4">
        <v>0.1</v>
      </c>
      <c r="B3" s="4">
        <f t="shared" ref="B3:B52" si="0">A3^2 -1</f>
        <v>-0.99</v>
      </c>
      <c r="C3" s="5">
        <f t="shared" ref="C3:C52" si="1">EXP(1) ^ (A3 - COS(A3))</f>
        <v>0.40860589668014125</v>
      </c>
      <c r="D3" s="5">
        <f t="shared" ref="D3:D52" si="2">LN(A3)</f>
        <v>-2.3025850929940455</v>
      </c>
    </row>
    <row r="4" spans="1:4">
      <c r="A4" s="4">
        <v>0.2</v>
      </c>
      <c r="B4" s="4">
        <f t="shared" si="0"/>
        <v>-0.96</v>
      </c>
      <c r="C4" s="5">
        <f t="shared" si="1"/>
        <v>0.45837549263852345</v>
      </c>
      <c r="D4" s="5">
        <f t="shared" si="2"/>
        <v>-1.6094379124341003</v>
      </c>
    </row>
    <row r="5" spans="1:4">
      <c r="A5" s="4">
        <v>0.3</v>
      </c>
      <c r="B5" s="4">
        <f t="shared" si="0"/>
        <v>-0.91</v>
      </c>
      <c r="C5" s="5">
        <f t="shared" si="1"/>
        <v>0.51926730538520327</v>
      </c>
      <c r="D5" s="5">
        <f t="shared" si="2"/>
        <v>-1.2039728043259361</v>
      </c>
    </row>
    <row r="6" spans="1:4">
      <c r="A6" s="4">
        <v>0.4</v>
      </c>
      <c r="B6" s="4">
        <f t="shared" si="0"/>
        <v>-0.84</v>
      </c>
      <c r="C6" s="5">
        <f t="shared" si="1"/>
        <v>0.59389009974424123</v>
      </c>
      <c r="D6" s="5">
        <f t="shared" si="2"/>
        <v>-0.916290731874155</v>
      </c>
    </row>
    <row r="7" spans="1:4">
      <c r="A7" s="4">
        <v>0.5</v>
      </c>
      <c r="B7" s="4">
        <f t="shared" si="0"/>
        <v>-0.75</v>
      </c>
      <c r="C7" s="5">
        <f t="shared" si="1"/>
        <v>0.68551660170131035</v>
      </c>
      <c r="D7" s="5">
        <f t="shared" si="2"/>
        <v>-0.69314718055994529</v>
      </c>
    </row>
    <row r="8" spans="1:4">
      <c r="A8" s="4">
        <v>0.6</v>
      </c>
      <c r="B8" s="4">
        <f t="shared" si="0"/>
        <v>-0.64</v>
      </c>
      <c r="C8" s="5">
        <f t="shared" si="1"/>
        <v>0.79824826977709329</v>
      </c>
      <c r="D8" s="5">
        <f t="shared" si="2"/>
        <v>-0.51082562376599072</v>
      </c>
    </row>
    <row r="9" spans="1:4">
      <c r="A9" s="4">
        <v>0.7</v>
      </c>
      <c r="B9" s="4">
        <f t="shared" si="0"/>
        <v>-0.51</v>
      </c>
      <c r="C9" s="5">
        <f t="shared" si="1"/>
        <v>0.93721535620779417</v>
      </c>
      <c r="D9" s="5">
        <f t="shared" si="2"/>
        <v>-0.35667494393873245</v>
      </c>
    </row>
    <row r="10" spans="1:4">
      <c r="A10" s="4">
        <v>0.8</v>
      </c>
      <c r="B10" s="4">
        <f t="shared" si="0"/>
        <v>-0.35999999999999988</v>
      </c>
      <c r="C10" s="5">
        <f t="shared" si="1"/>
        <v>1.1088165669255849</v>
      </c>
      <c r="D10" s="5">
        <f t="shared" si="2"/>
        <v>-0.22314355131420971</v>
      </c>
    </row>
    <row r="11" spans="1:4">
      <c r="A11" s="4">
        <v>0.9</v>
      </c>
      <c r="B11" s="4">
        <f t="shared" si="0"/>
        <v>-0.18999999999999995</v>
      </c>
      <c r="C11" s="5">
        <f t="shared" si="1"/>
        <v>1.3210013291765323</v>
      </c>
      <c r="D11" s="5">
        <f t="shared" si="2"/>
        <v>-0.10536051565782628</v>
      </c>
    </row>
    <row r="12" spans="1:4">
      <c r="A12" s="4">
        <v>1</v>
      </c>
      <c r="B12" s="4">
        <f t="shared" si="0"/>
        <v>0</v>
      </c>
      <c r="C12" s="5">
        <f t="shared" si="1"/>
        <v>1.5835951825092973</v>
      </c>
      <c r="D12" s="5">
        <f t="shared" si="2"/>
        <v>0</v>
      </c>
    </row>
    <row r="13" spans="1:4">
      <c r="A13" s="4">
        <v>1.1000000000000001</v>
      </c>
      <c r="B13" s="4">
        <f t="shared" si="0"/>
        <v>0.21000000000000019</v>
      </c>
      <c r="C13" s="5">
        <f t="shared" si="1"/>
        <v>1.9086646827358325</v>
      </c>
      <c r="D13" s="5">
        <f t="shared" si="2"/>
        <v>9.5310179804324935E-2</v>
      </c>
    </row>
    <row r="14" spans="1:4">
      <c r="A14" s="4">
        <v>1.2</v>
      </c>
      <c r="B14" s="4">
        <f t="shared" si="0"/>
        <v>0.43999999999999995</v>
      </c>
      <c r="C14" s="5">
        <f t="shared" si="1"/>
        <v>2.3109119854640934</v>
      </c>
      <c r="D14" s="5">
        <f t="shared" si="2"/>
        <v>0.18232155679395459</v>
      </c>
    </row>
    <row r="15" spans="1:4">
      <c r="A15" s="4">
        <v>1.3</v>
      </c>
      <c r="B15" s="4">
        <f t="shared" si="0"/>
        <v>0.69000000000000017</v>
      </c>
      <c r="C15" s="5">
        <f t="shared" si="1"/>
        <v>2.8080805492301493</v>
      </c>
      <c r="D15" s="5">
        <f t="shared" si="2"/>
        <v>0.26236426446749106</v>
      </c>
    </row>
    <row r="16" spans="1:4">
      <c r="A16" s="4">
        <v>1.4</v>
      </c>
      <c r="B16" s="4">
        <f t="shared" si="0"/>
        <v>0.95999999999999974</v>
      </c>
      <c r="C16" s="5">
        <f t="shared" si="1"/>
        <v>3.4213419498166266</v>
      </c>
      <c r="D16" s="5">
        <f t="shared" si="2"/>
        <v>0.33647223662121289</v>
      </c>
    </row>
    <row r="17" spans="1:4">
      <c r="A17" s="4">
        <v>1.5</v>
      </c>
      <c r="B17" s="4">
        <f t="shared" si="0"/>
        <v>1.25</v>
      </c>
      <c r="C17" s="5">
        <f t="shared" si="1"/>
        <v>4.1756197831222464</v>
      </c>
      <c r="D17" s="5">
        <f t="shared" si="2"/>
        <v>0.40546510810816438</v>
      </c>
    </row>
    <row r="18" spans="1:4">
      <c r="A18" s="4">
        <v>1.6</v>
      </c>
      <c r="B18" s="4">
        <f t="shared" si="0"/>
        <v>1.5600000000000005</v>
      </c>
      <c r="C18" s="5">
        <f t="shared" si="1"/>
        <v>5.0997908154022813</v>
      </c>
      <c r="D18" s="5">
        <f t="shared" si="2"/>
        <v>0.47000362924573563</v>
      </c>
    </row>
    <row r="19" spans="1:4">
      <c r="A19" s="4">
        <v>1.7</v>
      </c>
      <c r="B19" s="4">
        <f t="shared" si="0"/>
        <v>1.8899999999999997</v>
      </c>
      <c r="C19" s="5">
        <f t="shared" si="1"/>
        <v>6.2266875270495019</v>
      </c>
      <c r="D19" s="5">
        <f t="shared" si="2"/>
        <v>0.53062825106217038</v>
      </c>
    </row>
    <row r="20" spans="1:4">
      <c r="A20" s="4">
        <v>1.8</v>
      </c>
      <c r="B20" s="4">
        <f t="shared" si="0"/>
        <v>2.2400000000000002</v>
      </c>
      <c r="C20" s="5">
        <f t="shared" si="1"/>
        <v>7.5928126409514949</v>
      </c>
      <c r="D20" s="5">
        <f t="shared" si="2"/>
        <v>0.58778666490211906</v>
      </c>
    </row>
    <row r="21" spans="1:4">
      <c r="A21" s="4">
        <v>1.9</v>
      </c>
      <c r="B21" s="4">
        <f t="shared" si="0"/>
        <v>2.61</v>
      </c>
      <c r="C21" s="5">
        <f t="shared" si="1"/>
        <v>9.2376688684860806</v>
      </c>
      <c r="D21" s="5">
        <f t="shared" si="2"/>
        <v>0.64185388617239469</v>
      </c>
    </row>
    <row r="22" spans="1:4">
      <c r="A22" s="4">
        <v>2</v>
      </c>
      <c r="B22" s="4">
        <f t="shared" si="0"/>
        <v>3</v>
      </c>
      <c r="C22" s="5">
        <f t="shared" si="1"/>
        <v>11.202610556550299</v>
      </c>
      <c r="D22" s="5">
        <f t="shared" si="2"/>
        <v>0.69314718055994529</v>
      </c>
    </row>
    <row r="23" spans="1:4">
      <c r="A23" s="4">
        <v>2.1</v>
      </c>
      <c r="B23" s="4">
        <f t="shared" si="0"/>
        <v>3.41</v>
      </c>
      <c r="C23" s="5">
        <f t="shared" si="1"/>
        <v>13.529143069642426</v>
      </c>
      <c r="D23" s="5">
        <f t="shared" si="2"/>
        <v>0.74193734472937733</v>
      </c>
    </row>
    <row r="24" spans="1:4">
      <c r="A24" s="4">
        <v>2.2000000000000002</v>
      </c>
      <c r="B24" s="4">
        <f t="shared" si="0"/>
        <v>3.8400000000000007</v>
      </c>
      <c r="C24" s="5">
        <f t="shared" si="1"/>
        <v>16.256634741880308</v>
      </c>
      <c r="D24" s="5">
        <f t="shared" si="2"/>
        <v>0.78845736036427028</v>
      </c>
    </row>
    <row r="25" spans="1:4">
      <c r="A25" s="4">
        <v>2.2999999999999998</v>
      </c>
      <c r="B25" s="4">
        <f t="shared" si="0"/>
        <v>4.2899999999999991</v>
      </c>
      <c r="C25" s="5">
        <f t="shared" si="1"/>
        <v>19.419467091763202</v>
      </c>
      <c r="D25" s="5">
        <f t="shared" si="2"/>
        <v>0.83290912293510388</v>
      </c>
    </row>
    <row r="26" spans="1:4">
      <c r="A26" s="4">
        <v>2.4</v>
      </c>
      <c r="B26" s="4">
        <f t="shared" si="0"/>
        <v>4.76</v>
      </c>
      <c r="C26" s="5">
        <f t="shared" si="1"/>
        <v>23.04373001049867</v>
      </c>
      <c r="D26" s="5">
        <f t="shared" si="2"/>
        <v>0.87546873735389985</v>
      </c>
    </row>
    <row r="27" spans="1:4">
      <c r="A27" s="4">
        <v>2.5</v>
      </c>
      <c r="B27" s="4">
        <f t="shared" si="0"/>
        <v>5.25</v>
      </c>
      <c r="C27" s="5">
        <f t="shared" si="1"/>
        <v>27.143663092527326</v>
      </c>
      <c r="D27" s="5">
        <f t="shared" si="2"/>
        <v>0.91629073187415511</v>
      </c>
    </row>
    <row r="28" spans="1:4">
      <c r="A28" s="4">
        <v>2.6</v>
      </c>
      <c r="B28" s="4">
        <f t="shared" si="0"/>
        <v>5.7600000000000007</v>
      </c>
      <c r="C28" s="5">
        <f t="shared" si="1"/>
        <v>31.718139885967197</v>
      </c>
      <c r="D28" s="5">
        <f t="shared" si="2"/>
        <v>0.95551144502743635</v>
      </c>
    </row>
    <row r="29" spans="1:4">
      <c r="A29" s="4">
        <v>2.7</v>
      </c>
      <c r="B29" s="4">
        <f t="shared" si="0"/>
        <v>6.2900000000000009</v>
      </c>
      <c r="C29" s="5">
        <f t="shared" si="1"/>
        <v>36.747571506407169</v>
      </c>
      <c r="D29" s="5">
        <f t="shared" si="2"/>
        <v>0.99325177301028345</v>
      </c>
    </row>
    <row r="30" spans="1:4">
      <c r="A30" s="4">
        <v>2.8</v>
      </c>
      <c r="B30" s="4">
        <f t="shared" si="0"/>
        <v>6.839999999999999</v>
      </c>
      <c r="C30" s="5">
        <f t="shared" si="1"/>
        <v>42.191650274397041</v>
      </c>
      <c r="D30" s="5">
        <f t="shared" si="2"/>
        <v>1.0296194171811581</v>
      </c>
    </row>
    <row r="31" spans="1:4">
      <c r="A31" s="4">
        <v>2.9</v>
      </c>
      <c r="B31" s="4">
        <f t="shared" si="0"/>
        <v>7.41</v>
      </c>
      <c r="C31" s="5">
        <f t="shared" si="1"/>
        <v>47.988344818864505</v>
      </c>
      <c r="D31" s="5">
        <f t="shared" si="2"/>
        <v>1.0647107369924282</v>
      </c>
    </row>
    <row r="32" spans="1:4">
      <c r="A32" s="4">
        <v>3</v>
      </c>
      <c r="B32" s="4">
        <f t="shared" si="0"/>
        <v>8</v>
      </c>
      <c r="C32" s="5">
        <f t="shared" si="1"/>
        <v>54.054483769415469</v>
      </c>
      <c r="D32" s="5">
        <f t="shared" si="2"/>
        <v>1.0986122886681098</v>
      </c>
    </row>
    <row r="33" spans="1:4">
      <c r="A33" s="4">
        <v>3.1</v>
      </c>
      <c r="B33" s="4">
        <f t="shared" si="0"/>
        <v>8.6100000000000012</v>
      </c>
      <c r="C33" s="5">
        <f t="shared" si="1"/>
        <v>60.28812487583221</v>
      </c>
      <c r="D33" s="5">
        <f t="shared" si="2"/>
        <v>1.1314021114911006</v>
      </c>
    </row>
    <row r="34" spans="1:4">
      <c r="A34" s="4">
        <v>3.2</v>
      </c>
      <c r="B34" s="4">
        <f t="shared" si="0"/>
        <v>9.240000000000002</v>
      </c>
      <c r="C34" s="5">
        <f t="shared" si="1"/>
        <v>66.572712794898209</v>
      </c>
      <c r="D34" s="5">
        <f t="shared" si="2"/>
        <v>1.1631508098056809</v>
      </c>
    </row>
    <row r="35" spans="1:4">
      <c r="A35" s="4">
        <v>3.3</v>
      </c>
      <c r="B35" s="4">
        <f t="shared" si="0"/>
        <v>9.8899999999999988</v>
      </c>
      <c r="C35" s="5">
        <f t="shared" si="1"/>
        <v>72.782807740972444</v>
      </c>
      <c r="D35" s="5">
        <f t="shared" si="2"/>
        <v>1.1939224684724346</v>
      </c>
    </row>
    <row r="36" spans="1:4">
      <c r="A36" s="4">
        <v>3.4</v>
      </c>
      <c r="B36" s="4">
        <f t="shared" si="0"/>
        <v>10.559999999999999</v>
      </c>
      <c r="C36" s="5">
        <f t="shared" si="1"/>
        <v>78.790953941664512</v>
      </c>
      <c r="D36" s="5">
        <f t="shared" si="2"/>
        <v>1.2237754316221157</v>
      </c>
    </row>
    <row r="37" spans="1:4">
      <c r="A37" s="4">
        <v>3.5</v>
      </c>
      <c r="B37" s="4">
        <f t="shared" si="0"/>
        <v>11.25</v>
      </c>
      <c r="C37" s="5">
        <f t="shared" si="1"/>
        <v>84.475089095022142</v>
      </c>
      <c r="D37" s="5">
        <f t="shared" si="2"/>
        <v>1.2527629684953681</v>
      </c>
    </row>
    <row r="38" spans="1:4">
      <c r="A38" s="4">
        <v>3.6</v>
      </c>
      <c r="B38" s="4">
        <f t="shared" si="0"/>
        <v>11.96</v>
      </c>
      <c r="C38" s="5">
        <f t="shared" si="1"/>
        <v>89.725805671352433</v>
      </c>
      <c r="D38" s="5">
        <f t="shared" si="2"/>
        <v>1.2809338454620642</v>
      </c>
    </row>
    <row r="39" spans="1:4">
      <c r="A39" s="4">
        <v>3.7</v>
      </c>
      <c r="B39" s="4">
        <f t="shared" si="0"/>
        <v>12.690000000000001</v>
      </c>
      <c r="C39" s="5">
        <f t="shared" si="1"/>
        <v>94.45278043762967</v>
      </c>
      <c r="D39" s="5">
        <f t="shared" si="2"/>
        <v>1.3083328196501789</v>
      </c>
    </row>
    <row r="40" spans="1:4">
      <c r="A40" s="4">
        <v>3.8</v>
      </c>
      <c r="B40" s="4">
        <f t="shared" si="0"/>
        <v>13.44</v>
      </c>
      <c r="C40" s="5">
        <f t="shared" si="1"/>
        <v>98.589790528757433</v>
      </c>
      <c r="D40" s="5">
        <f t="shared" si="2"/>
        <v>1.33500106673234</v>
      </c>
    </row>
    <row r="41" spans="1:4">
      <c r="A41" s="4">
        <v>3.9</v>
      </c>
      <c r="B41" s="4">
        <f t="shared" si="0"/>
        <v>14.209999999999999</v>
      </c>
      <c r="C41" s="5">
        <f t="shared" si="1"/>
        <v>102.09791504020257</v>
      </c>
      <c r="D41" s="5">
        <f t="shared" si="2"/>
        <v>1.3609765531356006</v>
      </c>
    </row>
    <row r="42" spans="1:4">
      <c r="A42" s="4">
        <v>4</v>
      </c>
      <c r="B42" s="4">
        <f t="shared" si="0"/>
        <v>15</v>
      </c>
      <c r="C42" s="5">
        <f t="shared" si="1"/>
        <v>104.96674869024919</v>
      </c>
      <c r="D42" s="5">
        <f t="shared" si="2"/>
        <v>1.3862943611198906</v>
      </c>
    </row>
    <row r="43" spans="1:4">
      <c r="A43" s="4">
        <v>4.0999999999999996</v>
      </c>
      <c r="B43" s="4">
        <f t="shared" si="0"/>
        <v>15.809999999999999</v>
      </c>
      <c r="C43" s="5">
        <f t="shared" si="1"/>
        <v>107.21369008859114</v>
      </c>
      <c r="D43" s="5">
        <f t="shared" si="2"/>
        <v>1.410986973710262</v>
      </c>
    </row>
    <row r="44" spans="1:4">
      <c r="A44" s="4">
        <v>4.2</v>
      </c>
      <c r="B44" s="4">
        <f t="shared" si="0"/>
        <v>16.64</v>
      </c>
      <c r="C44" s="5">
        <f t="shared" si="1"/>
        <v>108.88157474255433</v>
      </c>
      <c r="D44" s="5">
        <f t="shared" si="2"/>
        <v>1.4350845252893227</v>
      </c>
    </row>
    <row r="45" spans="1:4">
      <c r="A45" s="4">
        <v>4.3</v>
      </c>
      <c r="B45" s="4">
        <f t="shared" si="0"/>
        <v>17.489999999999998</v>
      </c>
      <c r="C45" s="5">
        <f t="shared" si="1"/>
        <v>110.03507428228527</v>
      </c>
      <c r="D45" s="5">
        <f t="shared" si="2"/>
        <v>1.4586150226995167</v>
      </c>
    </row>
    <row r="46" spans="1:4">
      <c r="A46" s="4">
        <v>4.4000000000000004</v>
      </c>
      <c r="B46" s="4">
        <f t="shared" si="0"/>
        <v>18.360000000000003</v>
      </c>
      <c r="C46" s="5">
        <f t="shared" si="1"/>
        <v>110.75636399447829</v>
      </c>
      <c r="D46" s="5">
        <f t="shared" si="2"/>
        <v>1.4816045409242156</v>
      </c>
    </row>
    <row r="47" spans="1:4">
      <c r="A47" s="4">
        <v>4.5</v>
      </c>
      <c r="B47" s="4">
        <f t="shared" si="0"/>
        <v>19.25</v>
      </c>
      <c r="C47" s="5">
        <f t="shared" si="1"/>
        <v>111.14057032515386</v>
      </c>
      <c r="D47" s="5">
        <f t="shared" si="2"/>
        <v>1.5040773967762742</v>
      </c>
    </row>
    <row r="48" spans="1:4">
      <c r="A48" s="4">
        <v>4.5999999999999996</v>
      </c>
      <c r="B48" s="4">
        <f t="shared" si="0"/>
        <v>20.159999999999997</v>
      </c>
      <c r="C48" s="5">
        <f t="shared" si="1"/>
        <v>111.2914601287828</v>
      </c>
      <c r="D48" s="5">
        <f t="shared" si="2"/>
        <v>1.5260563034950492</v>
      </c>
    </row>
    <row r="49" spans="1:4">
      <c r="A49" s="4">
        <v>4.7</v>
      </c>
      <c r="B49" s="4">
        <f t="shared" si="0"/>
        <v>21.090000000000003</v>
      </c>
      <c r="C49" s="5">
        <f t="shared" si="1"/>
        <v>111.31774321083117</v>
      </c>
      <c r="D49" s="5">
        <f t="shared" si="2"/>
        <v>1.547562508716013</v>
      </c>
    </row>
    <row r="50" spans="1:4">
      <c r="A50" s="4">
        <v>4.8</v>
      </c>
      <c r="B50" s="4">
        <f t="shared" si="0"/>
        <v>22.04</v>
      </c>
      <c r="C50" s="5">
        <f t="shared" si="1"/>
        <v>111.33025080672616</v>
      </c>
      <c r="D50" s="5">
        <f t="shared" si="2"/>
        <v>1.5686159179138452</v>
      </c>
    </row>
    <row r="51" spans="1:4">
      <c r="A51" s="4">
        <v>4.9000000000000004</v>
      </c>
      <c r="B51" s="4">
        <f t="shared" si="0"/>
        <v>23.010000000000005</v>
      </c>
      <c r="C51" s="5">
        <f t="shared" si="1"/>
        <v>111.44014499533297</v>
      </c>
      <c r="D51" s="5">
        <f t="shared" si="2"/>
        <v>1.589235205116581</v>
      </c>
    </row>
    <row r="52" spans="1:4">
      <c r="A52" s="4">
        <v>5</v>
      </c>
      <c r="B52" s="4">
        <f t="shared" si="0"/>
        <v>24</v>
      </c>
      <c r="C52" s="5">
        <f t="shared" si="1"/>
        <v>111.75822298409004</v>
      </c>
      <c r="D52" s="5">
        <f t="shared" si="2"/>
        <v>1.6094379124341003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R53"/>
  <sheetViews>
    <sheetView zoomScale="85" zoomScaleNormal="85" workbookViewId="0">
      <selection activeCell="W5" sqref="W5"/>
    </sheetView>
  </sheetViews>
  <sheetFormatPr defaultRowHeight="15"/>
  <cols>
    <col min="3" max="3" width="5.140625" bestFit="1" customWidth="1"/>
    <col min="4" max="4" width="5" bestFit="1" customWidth="1"/>
    <col min="5" max="8" width="5.140625" bestFit="1" customWidth="1"/>
    <col min="9" max="9" width="5" bestFit="1" customWidth="1"/>
    <col min="10" max="13" width="5.140625" bestFit="1" customWidth="1"/>
    <col min="14" max="14" width="3.5703125" bestFit="1" customWidth="1"/>
    <col min="15" max="16" width="4.5703125" bestFit="1" customWidth="1"/>
    <col min="17" max="18" width="5" bestFit="1" customWidth="1"/>
    <col min="19" max="19" width="2.42578125" bestFit="1" customWidth="1"/>
  </cols>
  <sheetData>
    <row r="1" spans="1:18">
      <c r="C1" t="s">
        <v>1</v>
      </c>
    </row>
    <row r="2" spans="1:18">
      <c r="C2">
        <v>-2</v>
      </c>
      <c r="D2">
        <v>-1.8</v>
      </c>
      <c r="E2">
        <v>-1.6</v>
      </c>
      <c r="F2">
        <v>-1.4</v>
      </c>
      <c r="G2">
        <v>-1.2</v>
      </c>
      <c r="H2">
        <v>-1</v>
      </c>
      <c r="I2">
        <v>-0.8</v>
      </c>
      <c r="J2">
        <v>-0.6</v>
      </c>
      <c r="K2">
        <v>-0.4</v>
      </c>
      <c r="L2">
        <v>-0.2</v>
      </c>
      <c r="M2">
        <v>0</v>
      </c>
      <c r="N2">
        <v>0.2</v>
      </c>
      <c r="O2">
        <v>0.4</v>
      </c>
      <c r="P2">
        <v>0.6</v>
      </c>
      <c r="Q2">
        <v>0.8</v>
      </c>
      <c r="R2">
        <v>1</v>
      </c>
    </row>
    <row r="3" spans="1:18" ht="15.75">
      <c r="A3" t="s">
        <v>0</v>
      </c>
      <c r="B3">
        <v>-3</v>
      </c>
      <c r="C3" s="8">
        <f>$B3^3 * SIN(C$2^2) + $B3^2 * C$2^3</f>
        <v>-51.566332626685934</v>
      </c>
      <c r="D3" s="8">
        <f t="shared" ref="D3:R18" si="0">$B3^3 * SIN(D$2^2) + $B3^2 * D$2^3</f>
        <v>-49.835287968882071</v>
      </c>
      <c r="E3" s="8">
        <f t="shared" si="0"/>
        <v>-51.696596783532421</v>
      </c>
      <c r="F3" s="8">
        <f t="shared" si="0"/>
        <v>-49.676711061280542</v>
      </c>
      <c r="G3" s="8">
        <f t="shared" si="0"/>
        <v>-42.32137540117553</v>
      </c>
      <c r="H3" s="8">
        <f t="shared" si="0"/>
        <v>-31.719716589813206</v>
      </c>
      <c r="I3" s="8">
        <f t="shared" si="0"/>
        <v>-20.732276916784588</v>
      </c>
      <c r="J3" s="8">
        <f t="shared" si="0"/>
        <v>-11.455404298427428</v>
      </c>
      <c r="K3" s="8">
        <f t="shared" si="0"/>
        <v>-4.8775915785846422</v>
      </c>
      <c r="L3" s="8">
        <f t="shared" si="0"/>
        <v>-1.1517120230391227</v>
      </c>
      <c r="M3" s="8">
        <f t="shared" si="0"/>
        <v>0</v>
      </c>
      <c r="N3" s="8">
        <f t="shared" si="0"/>
        <v>-1.0077120230391226</v>
      </c>
      <c r="O3" s="8">
        <f t="shared" si="0"/>
        <v>-3.7255915785846416</v>
      </c>
      <c r="P3" s="8">
        <f t="shared" si="0"/>
        <v>-7.5674042984274292</v>
      </c>
      <c r="Q3" s="8">
        <f t="shared" si="0"/>
        <v>-11.516276916784587</v>
      </c>
      <c r="R3" s="8">
        <f t="shared" si="0"/>
        <v>-13.719716589813206</v>
      </c>
    </row>
    <row r="4" spans="1:18" ht="15.75">
      <c r="B4">
        <v>-2.9</v>
      </c>
      <c r="C4" s="8">
        <f t="shared" ref="C4:R35" si="1">$B4^3 * SIN(C$2^2) + $B4^2 * C$2^3</f>
        <v>-48.822343941934939</v>
      </c>
      <c r="D4" s="8">
        <f t="shared" si="0"/>
        <v>-46.650935047150554</v>
      </c>
      <c r="E4" s="8">
        <f t="shared" si="0"/>
        <v>-47.845589739021193</v>
      </c>
      <c r="F4" s="8">
        <f t="shared" si="0"/>
        <v>-45.642023780502626</v>
      </c>
      <c r="G4" s="8">
        <f t="shared" si="0"/>
        <v>-38.713157654047038</v>
      </c>
      <c r="H4" s="8">
        <f t="shared" si="0"/>
        <v>-28.932635848479787</v>
      </c>
      <c r="I4" s="8">
        <f t="shared" si="0"/>
        <v>-18.870919619387383</v>
      </c>
      <c r="J4" s="8">
        <f t="shared" si="0"/>
        <v>-10.408176275346168</v>
      </c>
      <c r="K4" s="8">
        <f t="shared" si="0"/>
        <v>-4.4238517411148459</v>
      </c>
      <c r="L4" s="8">
        <f t="shared" si="0"/>
        <v>-1.0425798714778207</v>
      </c>
      <c r="M4" s="8">
        <f t="shared" si="0"/>
        <v>0</v>
      </c>
      <c r="N4" s="8">
        <f t="shared" si="0"/>
        <v>-0.90801987147782071</v>
      </c>
      <c r="O4" s="8">
        <f t="shared" si="0"/>
        <v>-3.3473717411148458</v>
      </c>
      <c r="P4" s="8">
        <f t="shared" si="0"/>
        <v>-6.7750562753461692</v>
      </c>
      <c r="Q4" s="8">
        <f t="shared" si="0"/>
        <v>-10.259079619387379</v>
      </c>
      <c r="R4" s="8">
        <f t="shared" si="0"/>
        <v>-12.112635848479787</v>
      </c>
    </row>
    <row r="5" spans="1:18" ht="15.75">
      <c r="B5">
        <v>-2.8</v>
      </c>
      <c r="C5" s="8">
        <f t="shared" si="1"/>
        <v>-46.106671623000352</v>
      </c>
      <c r="D5" s="8">
        <f t="shared" si="0"/>
        <v>-43.566126870107368</v>
      </c>
      <c r="E5" s="8">
        <f t="shared" si="0"/>
        <v>-44.172090540448281</v>
      </c>
      <c r="F5" s="8">
        <f t="shared" si="0"/>
        <v>-41.82320330434186</v>
      </c>
      <c r="G5" s="8">
        <f t="shared" si="0"/>
        <v>-35.31201365950389</v>
      </c>
      <c r="H5" s="8">
        <f t="shared" si="0"/>
        <v>-26.311971058502941</v>
      </c>
      <c r="I5" s="8">
        <f t="shared" si="0"/>
        <v>-17.12371432878723</v>
      </c>
      <c r="J5" s="8">
        <f t="shared" si="0"/>
        <v>-9.4265639688547722</v>
      </c>
      <c r="K5" s="8">
        <f t="shared" si="0"/>
        <v>-3.9991132715959274</v>
      </c>
      <c r="L5" s="8">
        <f t="shared" si="0"/>
        <v>-0.94056586406499298</v>
      </c>
      <c r="M5" s="8">
        <f t="shared" si="0"/>
        <v>0</v>
      </c>
      <c r="N5" s="8">
        <f t="shared" si="0"/>
        <v>-0.81512586406499299</v>
      </c>
      <c r="O5" s="8">
        <f t="shared" si="0"/>
        <v>-2.9955932715959275</v>
      </c>
      <c r="P5" s="8">
        <f t="shared" si="0"/>
        <v>-6.0396839688547725</v>
      </c>
      <c r="Q5" s="8">
        <f t="shared" si="0"/>
        <v>-9.0955543287872267</v>
      </c>
      <c r="R5" s="8">
        <f t="shared" si="0"/>
        <v>-10.631971058502941</v>
      </c>
    </row>
    <row r="6" spans="1:18" ht="15.75">
      <c r="B6">
        <v>-2.7</v>
      </c>
      <c r="C6" s="8">
        <f t="shared" si="1"/>
        <v>-43.423856484854056</v>
      </c>
      <c r="D6" s="8">
        <f t="shared" si="0"/>
        <v>-40.581452929315034</v>
      </c>
      <c r="E6" s="8">
        <f t="shared" si="0"/>
        <v>-40.672803055195139</v>
      </c>
      <c r="F6" s="8">
        <f t="shared" si="0"/>
        <v>-38.21469836367352</v>
      </c>
      <c r="G6" s="8">
        <f t="shared" si="0"/>
        <v>-32.111994667456969</v>
      </c>
      <c r="H6" s="8">
        <f t="shared" si="0"/>
        <v>-23.852673393973831</v>
      </c>
      <c r="I6" s="8">
        <f t="shared" si="0"/>
        <v>-15.487077872335966</v>
      </c>
      <c r="J6" s="8">
        <f t="shared" si="0"/>
        <v>-8.5084537335535959</v>
      </c>
      <c r="K6" s="8">
        <f t="shared" si="0"/>
        <v>-3.6024202607882048</v>
      </c>
      <c r="L6" s="8">
        <f t="shared" si="0"/>
        <v>-0.84543006479552052</v>
      </c>
      <c r="M6" s="8">
        <f t="shared" si="0"/>
        <v>0</v>
      </c>
      <c r="N6" s="8">
        <f t="shared" si="0"/>
        <v>-0.72879006479552044</v>
      </c>
      <c r="O6" s="8">
        <f t="shared" si="0"/>
        <v>-2.6693002607882041</v>
      </c>
      <c r="P6" s="8">
        <f t="shared" si="0"/>
        <v>-5.3591737335535958</v>
      </c>
      <c r="Q6" s="8">
        <f t="shared" si="0"/>
        <v>-8.022117872335965</v>
      </c>
      <c r="R6" s="8">
        <f t="shared" si="0"/>
        <v>-9.2726733939738271</v>
      </c>
    </row>
    <row r="7" spans="1:18" ht="15.75">
      <c r="B7">
        <v>-2.6</v>
      </c>
      <c r="C7" s="8">
        <f t="shared" si="1"/>
        <v>-40.778439342467856</v>
      </c>
      <c r="D7" s="8">
        <f t="shared" si="0"/>
        <v>-37.697502716335975</v>
      </c>
      <c r="E7" s="8">
        <f t="shared" si="0"/>
        <v>-37.344431150643182</v>
      </c>
      <c r="F7" s="8">
        <f t="shared" si="0"/>
        <v>-34.810957689372849</v>
      </c>
      <c r="G7" s="8">
        <f t="shared" si="0"/>
        <v>-29.107151927817085</v>
      </c>
      <c r="H7" s="8">
        <f t="shared" si="0"/>
        <v>-21.549694028983595</v>
      </c>
      <c r="I7" s="8">
        <f t="shared" si="0"/>
        <v>-13.957427077385407</v>
      </c>
      <c r="J7" s="8">
        <f t="shared" si="0"/>
        <v>-7.6517319240429824</v>
      </c>
      <c r="K7" s="8">
        <f t="shared" si="0"/>
        <v>-3.2328167994519887</v>
      </c>
      <c r="L7" s="8">
        <f t="shared" si="0"/>
        <v>-0.75693253766428237</v>
      </c>
      <c r="M7" s="8">
        <f t="shared" si="0"/>
        <v>0</v>
      </c>
      <c r="N7" s="8">
        <f t="shared" si="0"/>
        <v>-0.64877253766428233</v>
      </c>
      <c r="O7" s="8">
        <f t="shared" si="0"/>
        <v>-2.3675367994519885</v>
      </c>
      <c r="P7" s="8">
        <f t="shared" si="0"/>
        <v>-4.7314119240429822</v>
      </c>
      <c r="Q7" s="8">
        <f t="shared" si="0"/>
        <v>-7.0351870773854053</v>
      </c>
      <c r="R7" s="8">
        <f t="shared" si="0"/>
        <v>-8.0296940289835916</v>
      </c>
    </row>
    <row r="8" spans="1:18" ht="15.75">
      <c r="B8">
        <v>-2.5</v>
      </c>
      <c r="C8" s="8">
        <f t="shared" si="1"/>
        <v>-38.174961010813618</v>
      </c>
      <c r="D8" s="8">
        <f t="shared" si="0"/>
        <v>-34.914865722732678</v>
      </c>
      <c r="E8" s="8">
        <f t="shared" si="0"/>
        <v>-34.18367869417385</v>
      </c>
      <c r="F8" s="8">
        <f t="shared" si="0"/>
        <v>-31.606430012315126</v>
      </c>
      <c r="G8" s="8">
        <f t="shared" si="0"/>
        <v>-26.2915366904951</v>
      </c>
      <c r="H8" s="8">
        <f t="shared" si="0"/>
        <v>-19.397984137623382</v>
      </c>
      <c r="I8" s="8">
        <f t="shared" si="0"/>
        <v>-12.531178771287378</v>
      </c>
      <c r="J8" s="8">
        <f t="shared" si="0"/>
        <v>-6.8542848949232802</v>
      </c>
      <c r="K8" s="8">
        <f t="shared" si="0"/>
        <v>-2.8893469783475938</v>
      </c>
      <c r="L8" s="8">
        <f t="shared" si="0"/>
        <v>-0.67483334666615891</v>
      </c>
      <c r="M8" s="8">
        <f t="shared" si="0"/>
        <v>0</v>
      </c>
      <c r="N8" s="8">
        <f t="shared" si="0"/>
        <v>-0.57483334666615882</v>
      </c>
      <c r="O8" s="8">
        <f t="shared" si="0"/>
        <v>-2.089346978347594</v>
      </c>
      <c r="P8" s="8">
        <f t="shared" si="0"/>
        <v>-4.1542848949232809</v>
      </c>
      <c r="Q8" s="8">
        <f t="shared" si="0"/>
        <v>-6.1311787712873755</v>
      </c>
      <c r="R8" s="8">
        <f t="shared" si="0"/>
        <v>-6.8979841376233821</v>
      </c>
    </row>
    <row r="9" spans="1:18" ht="15.75">
      <c r="B9">
        <v>-2.4</v>
      </c>
      <c r="C9" s="8">
        <f t="shared" si="1"/>
        <v>-35.617962304863198</v>
      </c>
      <c r="D9" s="8">
        <f t="shared" si="0"/>
        <v>-32.234131440067621</v>
      </c>
      <c r="E9" s="8">
        <f t="shared" si="0"/>
        <v>-31.187249553168598</v>
      </c>
      <c r="F9" s="8">
        <f t="shared" si="0"/>
        <v>-28.595564063375633</v>
      </c>
      <c r="G9" s="8">
        <f t="shared" si="0"/>
        <v>-23.659200205401874</v>
      </c>
      <c r="H9" s="8">
        <f t="shared" si="0"/>
        <v>-17.392494893984363</v>
      </c>
      <c r="I9" s="8">
        <f t="shared" si="0"/>
        <v>-11.204749781393708</v>
      </c>
      <c r="J9" s="8">
        <f t="shared" si="0"/>
        <v>-6.113999000794843</v>
      </c>
      <c r="K9" s="8">
        <f t="shared" si="0"/>
        <v>-2.571054888235337</v>
      </c>
      <c r="L9" s="8">
        <f t="shared" si="0"/>
        <v>-0.59889255579603073</v>
      </c>
      <c r="M9" s="8">
        <f t="shared" si="0"/>
        <v>0</v>
      </c>
      <c r="N9" s="8">
        <f t="shared" si="0"/>
        <v>-0.50673255579603071</v>
      </c>
      <c r="O9" s="8">
        <f t="shared" si="0"/>
        <v>-1.8337748882353369</v>
      </c>
      <c r="P9" s="8">
        <f t="shared" si="0"/>
        <v>-3.6256790007948432</v>
      </c>
      <c r="Q9" s="8">
        <f t="shared" si="0"/>
        <v>-5.3065097813937072</v>
      </c>
      <c r="R9" s="8">
        <f t="shared" si="0"/>
        <v>-5.8724948939843618</v>
      </c>
    </row>
    <row r="10" spans="1:18" ht="15.75">
      <c r="B10">
        <v>-2.2999999999999998</v>
      </c>
      <c r="C10" s="8">
        <f t="shared" si="1"/>
        <v>-33.111984039588435</v>
      </c>
      <c r="D10" s="8">
        <f t="shared" si="0"/>
        <v>-29.655889359903263</v>
      </c>
      <c r="E10" s="8">
        <f t="shared" si="0"/>
        <v>-28.351847595008845</v>
      </c>
      <c r="F10" s="8">
        <f t="shared" si="0"/>
        <v>-25.772808573429636</v>
      </c>
      <c r="G10" s="8">
        <f t="shared" si="0"/>
        <v>-21.204193722448245</v>
      </c>
      <c r="H10" s="8">
        <f t="shared" si="0"/>
        <v>-15.528177472157672</v>
      </c>
      <c r="I10" s="8">
        <f t="shared" si="0"/>
        <v>-9.9745569350562224</v>
      </c>
      <c r="J10" s="8">
        <f t="shared" si="0"/>
        <v>-5.4287605962580185</v>
      </c>
      <c r="K10" s="8">
        <f t="shared" si="0"/>
        <v>-2.2769846198755306</v>
      </c>
      <c r="L10" s="8">
        <f t="shared" si="0"/>
        <v>-0.52887022904877778</v>
      </c>
      <c r="M10" s="8">
        <f t="shared" si="0"/>
        <v>0</v>
      </c>
      <c r="N10" s="8">
        <f t="shared" si="0"/>
        <v>-0.44423022904877774</v>
      </c>
      <c r="O10" s="8">
        <f t="shared" si="0"/>
        <v>-1.5998646198755306</v>
      </c>
      <c r="P10" s="8">
        <f t="shared" si="0"/>
        <v>-3.1434805962580183</v>
      </c>
      <c r="Q10" s="8">
        <f t="shared" si="0"/>
        <v>-4.5575969350562229</v>
      </c>
      <c r="R10" s="8">
        <f t="shared" si="0"/>
        <v>-4.9481774721576741</v>
      </c>
    </row>
    <row r="11" spans="1:18" ht="15.75">
      <c r="B11">
        <v>-2.2000000000000002</v>
      </c>
      <c r="C11" s="8">
        <f t="shared" si="1"/>
        <v>-30.661567029961184</v>
      </c>
      <c r="D11" s="8">
        <f t="shared" si="0"/>
        <v>-27.18072897380209</v>
      </c>
      <c r="E11" s="8">
        <f t="shared" si="0"/>
        <v>-25.674176687076052</v>
      </c>
      <c r="F11" s="8">
        <f t="shared" si="0"/>
        <v>-23.132612273352418</v>
      </c>
      <c r="G11" s="8">
        <f t="shared" si="0"/>
        <v>-18.920568491545083</v>
      </c>
      <c r="H11" s="8">
        <f t="shared" si="0"/>
        <v>-13.799983046234484</v>
      </c>
      <c r="I11" s="8">
        <f t="shared" si="0"/>
        <v>-8.8370170596267545</v>
      </c>
      <c r="J11" s="8">
        <f t="shared" si="0"/>
        <v>-4.7964560359131596</v>
      </c>
      <c r="K11" s="8">
        <f t="shared" si="0"/>
        <v>-2.006180264028492</v>
      </c>
      <c r="L11" s="8">
        <f t="shared" si="0"/>
        <v>-0.46452643041928077</v>
      </c>
      <c r="M11" s="8">
        <f t="shared" si="0"/>
        <v>0</v>
      </c>
      <c r="N11" s="8">
        <f t="shared" si="0"/>
        <v>-0.3870864304192807</v>
      </c>
      <c r="O11" s="8">
        <f t="shared" si="0"/>
        <v>-1.386660264028492</v>
      </c>
      <c r="P11" s="8">
        <f t="shared" si="0"/>
        <v>-2.7055760359131589</v>
      </c>
      <c r="Q11" s="8">
        <f t="shared" si="0"/>
        <v>-3.8808570596267522</v>
      </c>
      <c r="R11" s="8">
        <f t="shared" si="0"/>
        <v>-4.1199830462344833</v>
      </c>
    </row>
    <row r="12" spans="1:18" ht="15.75">
      <c r="B12">
        <v>-2.1</v>
      </c>
      <c r="C12" s="8">
        <f t="shared" si="1"/>
        <v>-28.271252090953276</v>
      </c>
      <c r="D12" s="8">
        <f t="shared" si="0"/>
        <v>-24.809239773326553</v>
      </c>
      <c r="E12" s="8">
        <f t="shared" si="0"/>
        <v>-23.150940696751622</v>
      </c>
      <c r="F12" s="8">
        <f t="shared" si="0"/>
        <v>-20.669423894019225</v>
      </c>
      <c r="G12" s="8">
        <f t="shared" si="0"/>
        <v>-16.802375762603212</v>
      </c>
      <c r="H12" s="8">
        <f t="shared" si="0"/>
        <v>-12.202862790305931</v>
      </c>
      <c r="I12" s="8">
        <f t="shared" si="0"/>
        <v>-7.788546982457115</v>
      </c>
      <c r="J12" s="8">
        <f t="shared" si="0"/>
        <v>-4.2149716743606085</v>
      </c>
      <c r="K12" s="8">
        <f t="shared" si="0"/>
        <v>-1.7576859114545325</v>
      </c>
      <c r="L12" s="8">
        <f t="shared" si="0"/>
        <v>-0.40562122390241911</v>
      </c>
      <c r="M12" s="8">
        <f t="shared" si="0"/>
        <v>0</v>
      </c>
      <c r="N12" s="8">
        <f t="shared" si="0"/>
        <v>-0.33506122390241905</v>
      </c>
      <c r="O12" s="8">
        <f t="shared" si="0"/>
        <v>-1.1932059114545324</v>
      </c>
      <c r="P12" s="8">
        <f t="shared" si="0"/>
        <v>-2.3098516743606083</v>
      </c>
      <c r="Q12" s="8">
        <f t="shared" si="0"/>
        <v>-3.2727069824571129</v>
      </c>
      <c r="R12" s="8">
        <f t="shared" si="0"/>
        <v>-3.3828627903059303</v>
      </c>
    </row>
    <row r="13" spans="1:18" ht="15.75">
      <c r="B13">
        <v>-2</v>
      </c>
      <c r="C13" s="8">
        <f t="shared" si="1"/>
        <v>-25.945580037536573</v>
      </c>
      <c r="D13" s="8">
        <f t="shared" si="0"/>
        <v>-22.542011250039135</v>
      </c>
      <c r="E13" s="8">
        <f t="shared" si="0"/>
        <v>-20.778843491417014</v>
      </c>
      <c r="F13" s="8">
        <f t="shared" si="0"/>
        <v>-18.377692166305344</v>
      </c>
      <c r="G13" s="8">
        <f t="shared" si="0"/>
        <v>-14.843666785533491</v>
      </c>
      <c r="H13" s="8">
        <f t="shared" si="0"/>
        <v>-10.731767878463172</v>
      </c>
      <c r="I13" s="8">
        <f t="shared" si="0"/>
        <v>-6.8255635308991369</v>
      </c>
      <c r="J13" s="8">
        <f t="shared" si="0"/>
        <v>-3.6821938662007194</v>
      </c>
      <c r="K13" s="8">
        <f t="shared" si="0"/>
        <v>-1.530545652913968</v>
      </c>
      <c r="L13" s="8">
        <f t="shared" si="0"/>
        <v>-0.35191467349307337</v>
      </c>
      <c r="M13" s="8">
        <f t="shared" si="0"/>
        <v>0</v>
      </c>
      <c r="N13" s="8">
        <f t="shared" si="0"/>
        <v>-0.28791467349307331</v>
      </c>
      <c r="O13" s="8">
        <f t="shared" si="0"/>
        <v>-1.018545652913968</v>
      </c>
      <c r="P13" s="8">
        <f t="shared" si="0"/>
        <v>-1.9541938662007197</v>
      </c>
      <c r="Q13" s="8">
        <f t="shared" si="0"/>
        <v>-2.7295635308991364</v>
      </c>
      <c r="R13" s="8">
        <f t="shared" si="0"/>
        <v>-2.731767878463172</v>
      </c>
    </row>
    <row r="14" spans="1:18" ht="15.75">
      <c r="B14">
        <v>-1.9</v>
      </c>
      <c r="C14" s="8">
        <f t="shared" si="1"/>
        <v>-23.689091684682921</v>
      </c>
      <c r="D14" s="8">
        <f t="shared" si="0"/>
        <v>-20.379632895502301</v>
      </c>
      <c r="E14" s="8">
        <f t="shared" si="0"/>
        <v>-18.554588938453662</v>
      </c>
      <c r="F14" s="8">
        <f t="shared" si="0"/>
        <v>-16.251865821086042</v>
      </c>
      <c r="G14" s="8">
        <f t="shared" si="0"/>
        <v>-13.038492810246776</v>
      </c>
      <c r="H14" s="8">
        <f t="shared" si="0"/>
        <v>-9.3816494847973608</v>
      </c>
      <c r="I14" s="8">
        <f t="shared" si="0"/>
        <v>-5.9444835323046474</v>
      </c>
      <c r="J14" s="8">
        <f t="shared" si="0"/>
        <v>-3.1960089660338418</v>
      </c>
      <c r="K14" s="8">
        <f t="shared" si="0"/>
        <v>-1.3238035791671134</v>
      </c>
      <c r="L14" s="8">
        <f t="shared" si="0"/>
        <v>-0.30316684318612375</v>
      </c>
      <c r="M14" s="8">
        <f t="shared" si="0"/>
        <v>0</v>
      </c>
      <c r="N14" s="8">
        <f t="shared" si="0"/>
        <v>-0.24540684318612371</v>
      </c>
      <c r="O14" s="8">
        <f t="shared" si="0"/>
        <v>-0.86172357916711328</v>
      </c>
      <c r="P14" s="8">
        <f t="shared" si="0"/>
        <v>-1.6364889660338418</v>
      </c>
      <c r="Q14" s="8">
        <f t="shared" si="0"/>
        <v>-2.2478435323046471</v>
      </c>
      <c r="R14" s="8">
        <f t="shared" si="0"/>
        <v>-2.1616494847973615</v>
      </c>
    </row>
    <row r="15" spans="1:18" ht="15.75">
      <c r="B15">
        <v>-1.8</v>
      </c>
      <c r="C15" s="8">
        <f t="shared" si="1"/>
        <v>-21.506327847364162</v>
      </c>
      <c r="D15" s="8">
        <f t="shared" si="0"/>
        <v>-18.32269420127853</v>
      </c>
      <c r="E15" s="8">
        <f t="shared" si="0"/>
        <v>-16.474880905243005</v>
      </c>
      <c r="F15" s="8">
        <f t="shared" si="0"/>
        <v>-14.286393589236598</v>
      </c>
      <c r="G15" s="8">
        <f t="shared" si="0"/>
        <v>-11.380905086653916</v>
      </c>
      <c r="H15" s="8">
        <f t="shared" si="0"/>
        <v>-8.147458783399653</v>
      </c>
      <c r="I15" s="8">
        <f t="shared" si="0"/>
        <v>-5.1417238140254717</v>
      </c>
      <c r="J15" s="8">
        <f t="shared" si="0"/>
        <v>-2.7543033284603249</v>
      </c>
      <c r="K15" s="8">
        <f t="shared" si="0"/>
        <v>-1.1365037809742828</v>
      </c>
      <c r="L15" s="8">
        <f t="shared" si="0"/>
        <v>-0.25913779697645051</v>
      </c>
      <c r="M15" s="8">
        <f t="shared" si="0"/>
        <v>0</v>
      </c>
      <c r="N15" s="8">
        <f t="shared" si="0"/>
        <v>-0.20729779697645051</v>
      </c>
      <c r="O15" s="8">
        <f t="shared" si="0"/>
        <v>-0.72178378097428275</v>
      </c>
      <c r="P15" s="8">
        <f t="shared" si="0"/>
        <v>-1.3546233284603248</v>
      </c>
      <c r="Q15" s="8">
        <f t="shared" si="0"/>
        <v>-1.8239638140254708</v>
      </c>
      <c r="R15" s="8">
        <f t="shared" si="0"/>
        <v>-1.6674587833996526</v>
      </c>
    </row>
    <row r="16" spans="1:18" ht="15.75">
      <c r="B16">
        <v>-1.7</v>
      </c>
      <c r="C16" s="8">
        <f t="shared" si="1"/>
        <v>-19.401829340552148</v>
      </c>
      <c r="D16" s="8">
        <f t="shared" si="0"/>
        <v>-16.371784658930281</v>
      </c>
      <c r="E16" s="8">
        <f t="shared" si="0"/>
        <v>-14.536423259166472</v>
      </c>
      <c r="F16" s="8">
        <f t="shared" si="0"/>
        <v>-12.475724201632268</v>
      </c>
      <c r="G16" s="8">
        <f t="shared" si="0"/>
        <v>-9.864954864665755</v>
      </c>
      <c r="H16" s="8">
        <f t="shared" si="0"/>
        <v>-7.0241469483611949</v>
      </c>
      <c r="I16" s="8">
        <f t="shared" si="0"/>
        <v>-4.4137012034134315</v>
      </c>
      <c r="J16" s="8">
        <f t="shared" si="0"/>
        <v>-2.3549633080805163</v>
      </c>
      <c r="K16" s="8">
        <f t="shared" si="0"/>
        <v>-0.96769034909579055</v>
      </c>
      <c r="L16" s="8">
        <f t="shared" si="0"/>
        <v>-0.21958759885893364</v>
      </c>
      <c r="M16" s="8">
        <f t="shared" si="0"/>
        <v>0</v>
      </c>
      <c r="N16" s="8">
        <f t="shared" si="0"/>
        <v>-0.17334759885893364</v>
      </c>
      <c r="O16" s="8">
        <f t="shared" si="0"/>
        <v>-0.59777034909579052</v>
      </c>
      <c r="P16" s="8">
        <f t="shared" si="0"/>
        <v>-1.1064833080805168</v>
      </c>
      <c r="Q16" s="8">
        <f t="shared" si="0"/>
        <v>-1.4543412034134318</v>
      </c>
      <c r="R16" s="8">
        <f t="shared" si="0"/>
        <v>-1.2441469483611955</v>
      </c>
    </row>
    <row r="17" spans="2:18" ht="15.75">
      <c r="B17">
        <v>-1.6</v>
      </c>
      <c r="C17" s="8">
        <f t="shared" si="1"/>
        <v>-17.380136979218729</v>
      </c>
      <c r="D17" s="8">
        <f t="shared" si="0"/>
        <v>-14.52749376002004</v>
      </c>
      <c r="E17" s="8">
        <f t="shared" si="0"/>
        <v>-12.735919867605514</v>
      </c>
      <c r="F17" s="8">
        <f t="shared" si="0"/>
        <v>-10.814306389148339</v>
      </c>
      <c r="G17" s="8">
        <f t="shared" si="0"/>
        <v>-8.4846933941931493</v>
      </c>
      <c r="H17" s="8">
        <f t="shared" si="0"/>
        <v>-6.0066651537731452</v>
      </c>
      <c r="I17" s="8">
        <f t="shared" si="0"/>
        <v>-3.7568325278203591</v>
      </c>
      <c r="J17" s="8">
        <f t="shared" si="0"/>
        <v>-1.9958752594947688</v>
      </c>
      <c r="K17" s="8">
        <f t="shared" si="0"/>
        <v>-0.81640737429195187</v>
      </c>
      <c r="L17" s="8">
        <f t="shared" si="0"/>
        <v>-0.18427631282845358</v>
      </c>
      <c r="M17" s="8">
        <f t="shared" si="0"/>
        <v>0</v>
      </c>
      <c r="N17" s="8">
        <f t="shared" si="0"/>
        <v>-0.14331631282845358</v>
      </c>
      <c r="O17" s="8">
        <f t="shared" si="0"/>
        <v>-0.48872737429195168</v>
      </c>
      <c r="P17" s="8">
        <f t="shared" si="0"/>
        <v>-0.88995525949476861</v>
      </c>
      <c r="Q17" s="8">
        <f t="shared" si="0"/>
        <v>-1.1353925278203583</v>
      </c>
      <c r="R17" s="8">
        <f t="shared" si="0"/>
        <v>-0.88666515377314425</v>
      </c>
    </row>
    <row r="18" spans="2:18" ht="15.75">
      <c r="B18">
        <v>-1.5</v>
      </c>
      <c r="C18" s="8">
        <f t="shared" si="1"/>
        <v>-15.445791578335742</v>
      </c>
      <c r="D18" s="8">
        <f t="shared" si="0"/>
        <v>-12.790410996110261</v>
      </c>
      <c r="E18" s="8">
        <f t="shared" si="0"/>
        <v>-11.070074597941554</v>
      </c>
      <c r="F18" s="8">
        <f t="shared" si="0"/>
        <v>-9.2965888826600676</v>
      </c>
      <c r="G18" s="8">
        <f t="shared" si="0"/>
        <v>-7.2341719251469421</v>
      </c>
      <c r="H18" s="8">
        <f t="shared" si="0"/>
        <v>-5.0899645737266503</v>
      </c>
      <c r="I18" s="8">
        <f t="shared" si="0"/>
        <v>-3.1675346145980736</v>
      </c>
      <c r="J18" s="8">
        <f t="shared" si="0"/>
        <v>-1.6749255373034286</v>
      </c>
      <c r="K18" s="8">
        <f t="shared" si="0"/>
        <v>-0.68169894732308023</v>
      </c>
      <c r="L18" s="8">
        <f t="shared" si="0"/>
        <v>-0.15296400287989034</v>
      </c>
      <c r="M18" s="8">
        <f t="shared" si="0"/>
        <v>0</v>
      </c>
      <c r="N18" s="8">
        <f t="shared" si="0"/>
        <v>-0.11696400287989032</v>
      </c>
      <c r="O18" s="8">
        <f t="shared" si="0"/>
        <v>-0.3936989473230802</v>
      </c>
      <c r="P18" s="8">
        <f t="shared" si="0"/>
        <v>-0.70292553730342866</v>
      </c>
      <c r="Q18" s="8">
        <f t="shared" si="0"/>
        <v>-0.86353461459807312</v>
      </c>
      <c r="R18" s="8">
        <f t="shared" si="0"/>
        <v>-0.58996457372665079</v>
      </c>
    </row>
    <row r="19" spans="2:18" ht="15.75">
      <c r="B19">
        <v>-1.4</v>
      </c>
      <c r="C19" s="8">
        <f t="shared" si="1"/>
        <v>-13.603333952875044</v>
      </c>
      <c r="D19" s="8">
        <f t="shared" si="1"/>
        <v>-11.161125858763421</v>
      </c>
      <c r="E19" s="8">
        <f t="shared" si="1"/>
        <v>-9.535591317556035</v>
      </c>
      <c r="F19" s="8">
        <f t="shared" si="1"/>
        <v>-7.9170204130427315</v>
      </c>
      <c r="G19" s="8">
        <f t="shared" si="1"/>
        <v>-6.107441707437987</v>
      </c>
      <c r="H19" s="8">
        <f t="shared" si="1"/>
        <v>-4.2689963823128672</v>
      </c>
      <c r="I19" s="8">
        <f t="shared" si="1"/>
        <v>-2.6422242910984037</v>
      </c>
      <c r="J19" s="8">
        <f t="shared" si="1"/>
        <v>-1.3900004961068464</v>
      </c>
      <c r="K19" s="8">
        <f t="shared" si="1"/>
        <v>-0.56260915894949093</v>
      </c>
      <c r="L19" s="8">
        <f t="shared" si="1"/>
        <v>-0.12541073300812414</v>
      </c>
      <c r="M19" s="8">
        <f t="shared" si="1"/>
        <v>0</v>
      </c>
      <c r="N19" s="8">
        <f t="shared" si="1"/>
        <v>-9.4050733008124124E-2</v>
      </c>
      <c r="O19" s="8">
        <f t="shared" si="1"/>
        <v>-0.31172915894949094</v>
      </c>
      <c r="P19" s="8">
        <f t="shared" si="1"/>
        <v>-0.54328049610684659</v>
      </c>
      <c r="Q19" s="8">
        <f t="shared" si="1"/>
        <v>-0.63518429109840335</v>
      </c>
      <c r="R19" s="8">
        <f t="shared" si="1"/>
        <v>-0.34899638231286789</v>
      </c>
    </row>
    <row r="20" spans="2:18" ht="15.75">
      <c r="B20">
        <v>-1.3</v>
      </c>
      <c r="C20" s="8">
        <f t="shared" si="1"/>
        <v>-11.857304917808483</v>
      </c>
      <c r="D20" s="8">
        <f t="shared" si="1"/>
        <v>-9.640227839541998</v>
      </c>
      <c r="E20" s="8">
        <f t="shared" si="1"/>
        <v>-8.1291738938303979</v>
      </c>
      <c r="F20" s="8">
        <f t="shared" si="1"/>
        <v>-6.6700497111716057</v>
      </c>
      <c r="G20" s="8">
        <f t="shared" si="1"/>
        <v>-5.0985539909771358</v>
      </c>
      <c r="H20" s="8">
        <f t="shared" si="1"/>
        <v>-3.5387117536229491</v>
      </c>
      <c r="I20" s="8">
        <f t="shared" si="1"/>
        <v>-2.1773183846731761</v>
      </c>
      <c r="J20" s="8">
        <f t="shared" si="1"/>
        <v>-1.1389864905053728</v>
      </c>
      <c r="K20" s="8">
        <f t="shared" si="1"/>
        <v>-0.45818209993149861</v>
      </c>
      <c r="L20" s="8">
        <f t="shared" si="1"/>
        <v>-0.1013765672080353</v>
      </c>
      <c r="M20" s="8">
        <f t="shared" si="1"/>
        <v>0</v>
      </c>
      <c r="N20" s="8">
        <f t="shared" si="1"/>
        <v>-7.433656720803529E-2</v>
      </c>
      <c r="O20" s="8">
        <f t="shared" si="1"/>
        <v>-0.24186209993149854</v>
      </c>
      <c r="P20" s="8">
        <f t="shared" si="1"/>
        <v>-0.40890649050537275</v>
      </c>
      <c r="Q20" s="8">
        <f t="shared" si="1"/>
        <v>-0.44675838467317552</v>
      </c>
      <c r="R20" s="8">
        <f t="shared" si="1"/>
        <v>-0.15871175362294898</v>
      </c>
    </row>
    <row r="21" spans="2:18" ht="15.75">
      <c r="B21">
        <v>-1.2</v>
      </c>
      <c r="C21" s="8">
        <f t="shared" si="1"/>
        <v>-10.2122452881079</v>
      </c>
      <c r="D21" s="8">
        <f t="shared" si="1"/>
        <v>-8.2283064300084519</v>
      </c>
      <c r="E21" s="8">
        <f t="shared" si="1"/>
        <v>-6.8475261941460754</v>
      </c>
      <c r="F21" s="8">
        <f t="shared" si="1"/>
        <v>-5.5501255079219538</v>
      </c>
      <c r="G21" s="8">
        <f t="shared" si="1"/>
        <v>-4.2015600256752341</v>
      </c>
      <c r="H21" s="8">
        <f t="shared" si="1"/>
        <v>-2.8940618617480451</v>
      </c>
      <c r="I21" s="8">
        <f t="shared" si="1"/>
        <v>-1.7692337226742136</v>
      </c>
      <c r="J21" s="8">
        <f t="shared" si="1"/>
        <v>-0.91976987509935537</v>
      </c>
      <c r="K21" s="8">
        <f t="shared" si="1"/>
        <v>-0.36746186102941714</v>
      </c>
      <c r="L21" s="8">
        <f t="shared" si="1"/>
        <v>-8.0621569474503843E-2</v>
      </c>
      <c r="M21" s="8">
        <f t="shared" si="1"/>
        <v>0</v>
      </c>
      <c r="N21" s="8">
        <f t="shared" si="1"/>
        <v>-5.7581569474503838E-2</v>
      </c>
      <c r="O21" s="8">
        <f t="shared" si="1"/>
        <v>-0.1831418610294171</v>
      </c>
      <c r="P21" s="8">
        <f t="shared" si="1"/>
        <v>-0.29768987509935541</v>
      </c>
      <c r="Q21" s="8">
        <f t="shared" si="1"/>
        <v>-0.29467372267421332</v>
      </c>
      <c r="R21" s="8">
        <f t="shared" si="1"/>
        <v>-1.4061861748045246E-2</v>
      </c>
    </row>
    <row r="22" spans="2:18" ht="15.75">
      <c r="B22">
        <v>-1.1000000000000001</v>
      </c>
      <c r="C22" s="8">
        <f t="shared" si="1"/>
        <v>-8.6726958787451487</v>
      </c>
      <c r="D22" s="8">
        <f t="shared" si="1"/>
        <v>-6.9259511217252623</v>
      </c>
      <c r="E22" s="8">
        <f t="shared" si="1"/>
        <v>-5.6873520858845072</v>
      </c>
      <c r="F22" s="8">
        <f t="shared" si="1"/>
        <v>-4.5516965341690518</v>
      </c>
      <c r="G22" s="8">
        <f t="shared" si="1"/>
        <v>-3.4105110614431355</v>
      </c>
      <c r="H22" s="8">
        <f t="shared" si="1"/>
        <v>-2.3299978807793105</v>
      </c>
      <c r="I22" s="8">
        <f t="shared" si="1"/>
        <v>-1.4143871324533444</v>
      </c>
      <c r="J22" s="8">
        <f t="shared" si="1"/>
        <v>-0.73023700448914486</v>
      </c>
      <c r="K22" s="8">
        <f t="shared" si="1"/>
        <v>-0.28949253300356154</v>
      </c>
      <c r="L22" s="8">
        <f t="shared" si="1"/>
        <v>-6.2905803802410093E-2</v>
      </c>
      <c r="M22" s="8">
        <f t="shared" si="1"/>
        <v>0</v>
      </c>
      <c r="N22" s="8">
        <f t="shared" si="1"/>
        <v>-4.3545803802410091E-2</v>
      </c>
      <c r="O22" s="8">
        <f t="shared" si="1"/>
        <v>-0.13461253300356146</v>
      </c>
      <c r="P22" s="8">
        <f t="shared" si="1"/>
        <v>-0.20751700448914484</v>
      </c>
      <c r="Q22" s="8">
        <f t="shared" si="1"/>
        <v>-0.17534713245334388</v>
      </c>
      <c r="R22" s="8">
        <f t="shared" si="1"/>
        <v>9.000211922068968E-2</v>
      </c>
    </row>
    <row r="23" spans="2:18" ht="15.75">
      <c r="B23">
        <v>-1</v>
      </c>
      <c r="C23" s="8">
        <f t="shared" si="1"/>
        <v>-7.2431975046920716</v>
      </c>
      <c r="D23" s="8">
        <f t="shared" si="1"/>
        <v>-5.7337514062548918</v>
      </c>
      <c r="E23" s="8">
        <f t="shared" si="1"/>
        <v>-4.6453554364271277</v>
      </c>
      <c r="F23" s="8">
        <f t="shared" si="1"/>
        <v>-3.6692115207881679</v>
      </c>
      <c r="G23" s="8">
        <f t="shared" si="1"/>
        <v>-2.7194583481916865</v>
      </c>
      <c r="H23" s="8">
        <f t="shared" si="1"/>
        <v>-1.8414709848078965</v>
      </c>
      <c r="I23" s="8">
        <f t="shared" si="1"/>
        <v>-1.1091954413623921</v>
      </c>
      <c r="J23" s="8">
        <f t="shared" si="1"/>
        <v>-0.56827423327508997</v>
      </c>
      <c r="K23" s="8">
        <f t="shared" si="1"/>
        <v>-0.22331820661424601</v>
      </c>
      <c r="L23" s="8">
        <f t="shared" si="1"/>
        <v>-4.7989334186634168E-2</v>
      </c>
      <c r="M23" s="8">
        <f t="shared" si="1"/>
        <v>0</v>
      </c>
      <c r="N23" s="8">
        <f t="shared" si="1"/>
        <v>-3.1989334186634168E-2</v>
      </c>
      <c r="O23" s="8">
        <f t="shared" si="1"/>
        <v>-9.531820661424599E-2</v>
      </c>
      <c r="P23" s="8">
        <f t="shared" si="1"/>
        <v>-0.13627423327508995</v>
      </c>
      <c r="Q23" s="8">
        <f t="shared" si="1"/>
        <v>-8.5195441362391988E-2</v>
      </c>
      <c r="R23" s="8">
        <f t="shared" si="1"/>
        <v>0.1585290151921035</v>
      </c>
    </row>
    <row r="24" spans="2:18" ht="15.75">
      <c r="B24">
        <v>-0.9</v>
      </c>
      <c r="C24" s="8">
        <f t="shared" si="1"/>
        <v>-5.9282909809205204</v>
      </c>
      <c r="D24" s="8">
        <f t="shared" si="1"/>
        <v>-4.6522967751598161</v>
      </c>
      <c r="E24" s="8">
        <f t="shared" si="1"/>
        <v>-3.7182401131553764</v>
      </c>
      <c r="F24" s="8">
        <f t="shared" si="1"/>
        <v>-2.8971191986545746</v>
      </c>
      <c r="G24" s="8">
        <f t="shared" si="1"/>
        <v>-2.1224531358317398</v>
      </c>
      <c r="H24" s="8">
        <f t="shared" si="1"/>
        <v>-1.4234323479249567</v>
      </c>
      <c r="I24" s="8">
        <f t="shared" si="1"/>
        <v>-0.85007547675318407</v>
      </c>
      <c r="J24" s="8">
        <f t="shared" si="1"/>
        <v>-0.43176791605754061</v>
      </c>
      <c r="K24" s="8">
        <f t="shared" si="1"/>
        <v>-0.16798297262178538</v>
      </c>
      <c r="L24" s="8">
        <f t="shared" si="1"/>
        <v>-3.5632224622056313E-2</v>
      </c>
      <c r="M24" s="8">
        <f t="shared" si="1"/>
        <v>0</v>
      </c>
      <c r="N24" s="8">
        <f t="shared" si="1"/>
        <v>-2.267222462205631E-2</v>
      </c>
      <c r="O24" s="8">
        <f t="shared" si="1"/>
        <v>-6.4302972621785331E-2</v>
      </c>
      <c r="P24" s="8">
        <f t="shared" si="1"/>
        <v>-8.1847916057540604E-2</v>
      </c>
      <c r="Q24" s="8">
        <f t="shared" si="1"/>
        <v>-2.0635476753183779E-2</v>
      </c>
      <c r="R24" s="8">
        <f t="shared" si="1"/>
        <v>0.19656765207504345</v>
      </c>
    </row>
    <row r="25" spans="2:18" ht="15.75">
      <c r="B25">
        <v>-0.8</v>
      </c>
      <c r="C25" s="8">
        <f t="shared" si="1"/>
        <v>-4.7325171224023421</v>
      </c>
      <c r="D25" s="8">
        <f t="shared" si="1"/>
        <v>-3.6821767200025053</v>
      </c>
      <c r="E25" s="8">
        <f t="shared" si="1"/>
        <v>-2.90270998345069</v>
      </c>
      <c r="F25" s="8">
        <f t="shared" si="1"/>
        <v>-2.2298682986435421</v>
      </c>
      <c r="G25" s="8">
        <f t="shared" si="1"/>
        <v>-1.6135466742741438</v>
      </c>
      <c r="H25" s="8">
        <f t="shared" si="1"/>
        <v>-1.0708331442216432</v>
      </c>
      <c r="I25" s="8">
        <f t="shared" si="1"/>
        <v>-0.63344406597754499</v>
      </c>
      <c r="J25" s="8">
        <f t="shared" si="1"/>
        <v>-0.31860440743684615</v>
      </c>
      <c r="K25" s="8">
        <f t="shared" si="1"/>
        <v>-0.122530921786494</v>
      </c>
      <c r="L25" s="8">
        <f t="shared" si="1"/>
        <v>-2.5594539103556701E-2</v>
      </c>
      <c r="M25" s="8">
        <f t="shared" si="1"/>
        <v>0</v>
      </c>
      <c r="N25" s="8">
        <f t="shared" si="1"/>
        <v>-1.5354539103556695E-2</v>
      </c>
      <c r="O25" s="8">
        <f t="shared" si="1"/>
        <v>-4.0610921786493955E-2</v>
      </c>
      <c r="P25" s="8">
        <f t="shared" si="1"/>
        <v>-4.2124407436846062E-2</v>
      </c>
      <c r="Q25" s="8">
        <f t="shared" si="1"/>
        <v>2.1915934022455286E-2</v>
      </c>
      <c r="R25" s="8">
        <f t="shared" si="1"/>
        <v>0.20916685577835703</v>
      </c>
    </row>
    <row r="26" spans="2:18" ht="15.75">
      <c r="B26">
        <v>-0.7</v>
      </c>
      <c r="C26" s="8">
        <f t="shared" si="1"/>
        <v>-3.66041674410938</v>
      </c>
      <c r="D26" s="8">
        <f t="shared" si="1"/>
        <v>-2.8239807323454276</v>
      </c>
      <c r="E26" s="8">
        <f t="shared" si="1"/>
        <v>-2.1954689146945046</v>
      </c>
      <c r="F26" s="8">
        <f t="shared" si="1"/>
        <v>-1.6619075516303412</v>
      </c>
      <c r="G26" s="8">
        <f t="shared" si="1"/>
        <v>-1.1867902134297483</v>
      </c>
      <c r="H26" s="8">
        <f t="shared" si="1"/>
        <v>-0.77862454778910839</v>
      </c>
      <c r="I26" s="8">
        <f t="shared" si="1"/>
        <v>-0.45571803638730046</v>
      </c>
      <c r="J26" s="8">
        <f t="shared" si="1"/>
        <v>-0.22667006201335582</v>
      </c>
      <c r="K26" s="8">
        <f t="shared" si="1"/>
        <v>-8.6006144868686379E-2</v>
      </c>
      <c r="L26" s="8">
        <f t="shared" si="1"/>
        <v>-1.7636341626015517E-2</v>
      </c>
      <c r="M26" s="8">
        <f t="shared" si="1"/>
        <v>0</v>
      </c>
      <c r="N26" s="8">
        <f t="shared" si="1"/>
        <v>-9.7963416260155138E-3</v>
      </c>
      <c r="O26" s="8">
        <f t="shared" si="1"/>
        <v>-2.3286144868686361E-2</v>
      </c>
      <c r="P26" s="8">
        <f t="shared" si="1"/>
        <v>-1.4990062013355829E-2</v>
      </c>
      <c r="Q26" s="8">
        <f t="shared" si="1"/>
        <v>4.6041963612699605E-2</v>
      </c>
      <c r="R26" s="8">
        <f t="shared" si="1"/>
        <v>0.20137545221089148</v>
      </c>
    </row>
    <row r="27" spans="2:18" ht="15.75">
      <c r="B27">
        <v>-0.6</v>
      </c>
      <c r="C27" s="8">
        <f t="shared" si="1"/>
        <v>-2.7165306610134872</v>
      </c>
      <c r="D27" s="8">
        <f t="shared" si="1"/>
        <v>-2.0782983037510565</v>
      </c>
      <c r="E27" s="8">
        <f t="shared" si="1"/>
        <v>-1.5932207742682596</v>
      </c>
      <c r="F27" s="8">
        <f t="shared" si="1"/>
        <v>-1.187685688490244</v>
      </c>
      <c r="G27" s="8">
        <f t="shared" si="1"/>
        <v>-0.83623500320940425</v>
      </c>
      <c r="H27" s="8">
        <f t="shared" si="1"/>
        <v>-0.54175773271850569</v>
      </c>
      <c r="I27" s="8">
        <f t="shared" si="1"/>
        <v>-0.31331421533427672</v>
      </c>
      <c r="J27" s="8">
        <f t="shared" si="1"/>
        <v>-0.15385123438741943</v>
      </c>
      <c r="K27" s="8">
        <f t="shared" si="1"/>
        <v>-5.7452732628677144E-2</v>
      </c>
      <c r="L27" s="8">
        <f t="shared" si="1"/>
        <v>-1.1517696184312981E-2</v>
      </c>
      <c r="M27" s="8">
        <f t="shared" si="1"/>
        <v>0</v>
      </c>
      <c r="N27" s="8">
        <f t="shared" si="1"/>
        <v>-5.7576961843129795E-3</v>
      </c>
      <c r="O27" s="8">
        <f t="shared" si="1"/>
        <v>-1.1372732628677135E-2</v>
      </c>
      <c r="P27" s="8">
        <f t="shared" si="1"/>
        <v>1.6687656125805722E-3</v>
      </c>
      <c r="Q27" s="8">
        <f t="shared" si="1"/>
        <v>5.5325784665723354E-2</v>
      </c>
      <c r="R27" s="8">
        <f t="shared" si="1"/>
        <v>0.17824226728149434</v>
      </c>
    </row>
    <row r="28" spans="2:18" ht="15.75">
      <c r="B28">
        <v>-0.5</v>
      </c>
      <c r="C28" s="8">
        <f t="shared" si="1"/>
        <v>-1.9053996880865089</v>
      </c>
      <c r="D28" s="8">
        <f t="shared" si="1"/>
        <v>-1.4457189257818617</v>
      </c>
      <c r="E28" s="8">
        <f t="shared" si="1"/>
        <v>-1.092669429553391</v>
      </c>
      <c r="F28" s="8">
        <f t="shared" si="1"/>
        <v>-0.80165144009852085</v>
      </c>
      <c r="G28" s="8">
        <f t="shared" si="1"/>
        <v>-0.55593229352396079</v>
      </c>
      <c r="H28" s="8">
        <f t="shared" si="1"/>
        <v>-0.35518387310098709</v>
      </c>
      <c r="I28" s="8">
        <f t="shared" si="1"/>
        <v>-0.20264943017029904</v>
      </c>
      <c r="J28" s="8">
        <f t="shared" si="1"/>
        <v>-9.8034279159386242E-2</v>
      </c>
      <c r="K28" s="8">
        <f t="shared" si="1"/>
        <v>-3.5914775826780751E-2</v>
      </c>
      <c r="L28" s="8">
        <f t="shared" si="1"/>
        <v>-6.998666773329271E-3</v>
      </c>
      <c r="M28" s="8">
        <f t="shared" si="1"/>
        <v>0</v>
      </c>
      <c r="N28" s="8">
        <f t="shared" si="1"/>
        <v>-2.9986667733292705E-3</v>
      </c>
      <c r="O28" s="8">
        <f t="shared" si="1"/>
        <v>-3.9147758267807468E-3</v>
      </c>
      <c r="P28" s="8">
        <f t="shared" si="1"/>
        <v>9.9657208406137565E-3</v>
      </c>
      <c r="Q28" s="8">
        <f t="shared" si="1"/>
        <v>5.3350569829701017E-2</v>
      </c>
      <c r="R28" s="8">
        <f t="shared" si="1"/>
        <v>0.14481612689901294</v>
      </c>
    </row>
    <row r="29" spans="2:18" ht="15.75">
      <c r="B29">
        <v>-0.4</v>
      </c>
      <c r="C29" s="8">
        <f t="shared" si="1"/>
        <v>-1.2315646403002929</v>
      </c>
      <c r="D29" s="8">
        <f t="shared" si="1"/>
        <v>-0.9268320900003133</v>
      </c>
      <c r="E29" s="8">
        <f t="shared" si="1"/>
        <v>-0.69051874793133639</v>
      </c>
      <c r="F29" s="8">
        <f t="shared" si="1"/>
        <v>-0.49825353733044275</v>
      </c>
      <c r="G29" s="8">
        <f t="shared" si="1"/>
        <v>-0.33993333428426797</v>
      </c>
      <c r="H29" s="8">
        <f t="shared" si="1"/>
        <v>-0.21385414302770542</v>
      </c>
      <c r="I29" s="8">
        <f t="shared" si="1"/>
        <v>-0.12014050824719313</v>
      </c>
      <c r="J29" s="8">
        <f t="shared" si="1"/>
        <v>-5.7105550929605772E-2</v>
      </c>
      <c r="K29" s="8">
        <f t="shared" si="1"/>
        <v>-2.0436365223311749E-2</v>
      </c>
      <c r="L29" s="8">
        <f t="shared" si="1"/>
        <v>-3.839317387944588E-3</v>
      </c>
      <c r="M29" s="8">
        <f t="shared" si="1"/>
        <v>0</v>
      </c>
      <c r="N29" s="8">
        <f t="shared" si="1"/>
        <v>-1.2793173879445867E-3</v>
      </c>
      <c r="O29" s="8">
        <f t="shared" si="1"/>
        <v>4.363477668825784E-5</v>
      </c>
      <c r="P29" s="8">
        <f t="shared" si="1"/>
        <v>1.2014449070394246E-2</v>
      </c>
      <c r="Q29" s="8">
        <f t="shared" si="1"/>
        <v>4.3699491752806928E-2</v>
      </c>
      <c r="R29" s="8">
        <f t="shared" si="1"/>
        <v>0.10614585697229464</v>
      </c>
    </row>
    <row r="30" spans="2:18" ht="15.75">
      <c r="B30">
        <v>-0.3</v>
      </c>
      <c r="C30" s="8">
        <f t="shared" si="1"/>
        <v>-0.69956633262668588</v>
      </c>
      <c r="D30" s="8">
        <f t="shared" si="1"/>
        <v>-0.52222728796888207</v>
      </c>
      <c r="E30" s="8">
        <f t="shared" si="1"/>
        <v>-0.38347259678353252</v>
      </c>
      <c r="F30" s="8">
        <f t="shared" si="1"/>
        <v>-0.27194071106128048</v>
      </c>
      <c r="G30" s="8">
        <f t="shared" si="1"/>
        <v>-0.18228937540117551</v>
      </c>
      <c r="H30" s="8">
        <f t="shared" si="1"/>
        <v>-0.1127197165898132</v>
      </c>
      <c r="I30" s="8">
        <f t="shared" si="1"/>
        <v>-6.2204276916784595E-2</v>
      </c>
      <c r="J30" s="8">
        <f t="shared" si="1"/>
        <v>-2.8951404298427429E-2</v>
      </c>
      <c r="K30" s="8">
        <f t="shared" si="1"/>
        <v>-1.0061591578584644E-2</v>
      </c>
      <c r="L30" s="8">
        <f t="shared" si="1"/>
        <v>-1.7997120230391227E-3</v>
      </c>
      <c r="M30" s="8">
        <f t="shared" si="1"/>
        <v>0</v>
      </c>
      <c r="N30" s="8">
        <f t="shared" si="1"/>
        <v>-3.5971202303912236E-4</v>
      </c>
      <c r="O30" s="8">
        <f t="shared" si="1"/>
        <v>1.4584084214153588E-3</v>
      </c>
      <c r="P30" s="8">
        <f t="shared" si="1"/>
        <v>9.928595701572571E-3</v>
      </c>
      <c r="Q30" s="8">
        <f t="shared" si="1"/>
        <v>2.9955723083215424E-2</v>
      </c>
      <c r="R30" s="8">
        <f t="shared" si="1"/>
        <v>6.7280283410186797E-2</v>
      </c>
    </row>
    <row r="31" spans="2:18" ht="15.75">
      <c r="B31">
        <v>-0.2</v>
      </c>
      <c r="C31" s="8">
        <f t="shared" si="1"/>
        <v>-0.31394558003753664</v>
      </c>
      <c r="D31" s="8">
        <f t="shared" si="1"/>
        <v>-0.23249401125003921</v>
      </c>
      <c r="E31" s="8">
        <f t="shared" si="1"/>
        <v>-0.16823484349141707</v>
      </c>
      <c r="F31" s="8">
        <f t="shared" si="1"/>
        <v>-0.11716169216630534</v>
      </c>
      <c r="G31" s="8">
        <f t="shared" si="1"/>
        <v>-7.7051666785533504E-2</v>
      </c>
      <c r="H31" s="8">
        <f t="shared" si="1"/>
        <v>-4.6731767878463185E-2</v>
      </c>
      <c r="I31" s="8">
        <f t="shared" si="1"/>
        <v>-2.5257563530899148E-2</v>
      </c>
      <c r="J31" s="8">
        <f t="shared" si="1"/>
        <v>-1.1458193866200722E-2</v>
      </c>
      <c r="K31" s="8">
        <f t="shared" si="1"/>
        <v>-3.8345456529139694E-3</v>
      </c>
      <c r="L31" s="8">
        <f t="shared" si="1"/>
        <v>-6.3991467349307348E-4</v>
      </c>
      <c r="M31" s="8">
        <f t="shared" si="1"/>
        <v>0</v>
      </c>
      <c r="N31" s="8">
        <f t="shared" si="1"/>
        <v>8.5326506926730345E-8</v>
      </c>
      <c r="O31" s="8">
        <f t="shared" si="1"/>
        <v>1.2854543470860328E-3</v>
      </c>
      <c r="P31" s="8">
        <f t="shared" si="1"/>
        <v>5.8218061337992812E-3</v>
      </c>
      <c r="Q31" s="8">
        <f t="shared" si="1"/>
        <v>1.5702436469100869E-2</v>
      </c>
      <c r="R31" s="8">
        <f t="shared" si="1"/>
        <v>3.3268232121536831E-2</v>
      </c>
    </row>
    <row r="32" spans="2:18" ht="15.75">
      <c r="B32">
        <v>-0.1</v>
      </c>
      <c r="C32" s="8">
        <f t="shared" si="1"/>
        <v>-7.9243197504692081E-2</v>
      </c>
      <c r="D32" s="8">
        <f t="shared" si="1"/>
        <v>-5.8221751406254907E-2</v>
      </c>
      <c r="E32" s="8">
        <f t="shared" si="1"/>
        <v>-4.1509355436427142E-2</v>
      </c>
      <c r="F32" s="8">
        <f t="shared" si="1"/>
        <v>-2.8365211520788167E-2</v>
      </c>
      <c r="G32" s="8">
        <f t="shared" si="1"/>
        <v>-1.8271458348191692E-2</v>
      </c>
      <c r="H32" s="8">
        <f t="shared" si="1"/>
        <v>-1.0841470984807899E-2</v>
      </c>
      <c r="I32" s="8">
        <f t="shared" si="1"/>
        <v>-5.7171954413623941E-3</v>
      </c>
      <c r="J32" s="8">
        <f t="shared" si="1"/>
        <v>-2.5122742332750903E-3</v>
      </c>
      <c r="K32" s="8">
        <f t="shared" si="1"/>
        <v>-7.9931820661424636E-4</v>
      </c>
      <c r="L32" s="8">
        <f t="shared" si="1"/>
        <v>-1.1998933418663421E-4</v>
      </c>
      <c r="M32" s="8">
        <f t="shared" si="1"/>
        <v>0</v>
      </c>
      <c r="N32" s="8">
        <f t="shared" si="1"/>
        <v>4.0010665813365858E-5</v>
      </c>
      <c r="O32" s="8">
        <f t="shared" si="1"/>
        <v>4.8068179338575423E-4</v>
      </c>
      <c r="P32" s="8">
        <f t="shared" si="1"/>
        <v>1.8077257667249104E-3</v>
      </c>
      <c r="Q32" s="8">
        <f t="shared" si="1"/>
        <v>4.5228045586376102E-3</v>
      </c>
      <c r="R32" s="8">
        <f t="shared" si="1"/>
        <v>9.1585290151921048E-3</v>
      </c>
    </row>
    <row r="33" spans="2:18" ht="15.75">
      <c r="B33">
        <v>0</v>
      </c>
      <c r="C33" s="8">
        <f t="shared" si="1"/>
        <v>0</v>
      </c>
      <c r="D33" s="8">
        <f t="shared" si="1"/>
        <v>0</v>
      </c>
      <c r="E33" s="8">
        <f t="shared" si="1"/>
        <v>0</v>
      </c>
      <c r="F33" s="8">
        <f t="shared" si="1"/>
        <v>0</v>
      </c>
      <c r="G33" s="8">
        <f t="shared" si="1"/>
        <v>0</v>
      </c>
      <c r="H33" s="8">
        <f t="shared" si="1"/>
        <v>0</v>
      </c>
      <c r="I33" s="8">
        <f t="shared" si="1"/>
        <v>0</v>
      </c>
      <c r="J33" s="8">
        <f t="shared" si="1"/>
        <v>0</v>
      </c>
      <c r="K33" s="8">
        <f t="shared" si="1"/>
        <v>0</v>
      </c>
      <c r="L33" s="8">
        <f t="shared" si="1"/>
        <v>0</v>
      </c>
      <c r="M33" s="8">
        <f t="shared" si="1"/>
        <v>0</v>
      </c>
      <c r="N33" s="8">
        <f t="shared" si="1"/>
        <v>0</v>
      </c>
      <c r="O33" s="8">
        <f t="shared" si="1"/>
        <v>0</v>
      </c>
      <c r="P33" s="8">
        <f t="shared" si="1"/>
        <v>0</v>
      </c>
      <c r="Q33" s="8">
        <f t="shared" si="1"/>
        <v>0</v>
      </c>
      <c r="R33" s="8">
        <f t="shared" si="1"/>
        <v>0</v>
      </c>
    </row>
    <row r="34" spans="2:18" ht="15.75">
      <c r="B34">
        <v>0.1</v>
      </c>
      <c r="C34" s="8">
        <f t="shared" ref="C34:R53" si="2">$B34^3 * SIN(C$2^2) + $B34^2 * C$2^3</f>
        <v>-8.075680249530795E-2</v>
      </c>
      <c r="D34" s="8">
        <f t="shared" si="2"/>
        <v>-5.8418248593745128E-2</v>
      </c>
      <c r="E34" s="8">
        <f t="shared" si="2"/>
        <v>-4.0410644563572892E-2</v>
      </c>
      <c r="F34" s="8">
        <f t="shared" si="2"/>
        <v>-2.6514788479211831E-2</v>
      </c>
      <c r="G34" s="8">
        <f t="shared" si="2"/>
        <v>-1.6288541651808316E-2</v>
      </c>
      <c r="H34" s="8">
        <f t="shared" si="2"/>
        <v>-9.1585290151921048E-3</v>
      </c>
      <c r="I34" s="8">
        <f t="shared" si="2"/>
        <v>-4.5228045586376102E-3</v>
      </c>
      <c r="J34" s="8">
        <f t="shared" si="2"/>
        <v>-1.8077257667249104E-3</v>
      </c>
      <c r="K34" s="8">
        <f t="shared" si="2"/>
        <v>-4.8068179338575423E-4</v>
      </c>
      <c r="L34" s="8">
        <f t="shared" si="2"/>
        <v>-4.0010665813365858E-5</v>
      </c>
      <c r="M34" s="8">
        <f t="shared" si="2"/>
        <v>0</v>
      </c>
      <c r="N34" s="8">
        <f t="shared" si="2"/>
        <v>1.1998933418663421E-4</v>
      </c>
      <c r="O34" s="8">
        <f t="shared" si="2"/>
        <v>7.9931820661424636E-4</v>
      </c>
      <c r="P34" s="8">
        <f t="shared" si="2"/>
        <v>2.5122742332750903E-3</v>
      </c>
      <c r="Q34" s="8">
        <f t="shared" si="2"/>
        <v>5.7171954413623941E-3</v>
      </c>
      <c r="R34" s="8">
        <f t="shared" si="2"/>
        <v>1.0841470984807899E-2</v>
      </c>
    </row>
    <row r="35" spans="2:18" ht="15.75">
      <c r="B35">
        <v>0.2</v>
      </c>
      <c r="C35" s="8">
        <f t="shared" si="2"/>
        <v>-0.32605441996246348</v>
      </c>
      <c r="D35" s="8">
        <f t="shared" si="2"/>
        <v>-0.23406598874996093</v>
      </c>
      <c r="E35" s="8">
        <f t="shared" si="2"/>
        <v>-0.15944515650858307</v>
      </c>
      <c r="F35" s="8">
        <f t="shared" si="2"/>
        <v>-0.10235830783369465</v>
      </c>
      <c r="G35" s="8">
        <f t="shared" si="2"/>
        <v>-6.1188333214466525E-2</v>
      </c>
      <c r="H35" s="8">
        <f t="shared" si="2"/>
        <v>-3.3268232121536831E-2</v>
      </c>
      <c r="I35" s="8">
        <f t="shared" si="2"/>
        <v>-1.5702436469100869E-2</v>
      </c>
      <c r="J35" s="8">
        <f t="shared" si="2"/>
        <v>-5.8218061337992812E-3</v>
      </c>
      <c r="K35" s="8">
        <f t="shared" si="2"/>
        <v>-1.2854543470860328E-3</v>
      </c>
      <c r="L35" s="8">
        <f t="shared" si="2"/>
        <v>-8.5326506926730345E-8</v>
      </c>
      <c r="M35" s="8">
        <f t="shared" si="2"/>
        <v>0</v>
      </c>
      <c r="N35" s="8">
        <f t="shared" si="2"/>
        <v>6.3991467349307348E-4</v>
      </c>
      <c r="O35" s="8">
        <f t="shared" si="2"/>
        <v>3.8345456529139694E-3</v>
      </c>
      <c r="P35" s="8">
        <f t="shared" si="2"/>
        <v>1.1458193866200722E-2</v>
      </c>
      <c r="Q35" s="8">
        <f t="shared" si="2"/>
        <v>2.5257563530899148E-2</v>
      </c>
      <c r="R35" s="8">
        <f t="shared" si="2"/>
        <v>4.6731767878463185E-2</v>
      </c>
    </row>
    <row r="36" spans="2:18" ht="15.75">
      <c r="B36">
        <v>0.3</v>
      </c>
      <c r="C36" s="8">
        <f t="shared" si="2"/>
        <v>-0.74043366737331406</v>
      </c>
      <c r="D36" s="8">
        <f t="shared" si="2"/>
        <v>-0.52753271203111796</v>
      </c>
      <c r="E36" s="8">
        <f t="shared" si="2"/>
        <v>-0.35380740321646764</v>
      </c>
      <c r="F36" s="8">
        <f t="shared" si="2"/>
        <v>-0.22197928893871938</v>
      </c>
      <c r="G36" s="8">
        <f t="shared" si="2"/>
        <v>-0.12875062459882447</v>
      </c>
      <c r="H36" s="8">
        <f t="shared" si="2"/>
        <v>-6.7280283410186797E-2</v>
      </c>
      <c r="I36" s="8">
        <f t="shared" si="2"/>
        <v>-2.9955723083215424E-2</v>
      </c>
      <c r="J36" s="8">
        <f t="shared" si="2"/>
        <v>-9.928595701572571E-3</v>
      </c>
      <c r="K36" s="8">
        <f t="shared" si="2"/>
        <v>-1.4584084214153588E-3</v>
      </c>
      <c r="L36" s="8">
        <f t="shared" si="2"/>
        <v>3.5971202303912236E-4</v>
      </c>
      <c r="M36" s="8">
        <f t="shared" si="2"/>
        <v>0</v>
      </c>
      <c r="N36" s="8">
        <f t="shared" si="2"/>
        <v>1.7997120230391227E-3</v>
      </c>
      <c r="O36" s="8">
        <f t="shared" si="2"/>
        <v>1.0061591578584644E-2</v>
      </c>
      <c r="P36" s="8">
        <f t="shared" si="2"/>
        <v>2.8951404298427429E-2</v>
      </c>
      <c r="Q36" s="8">
        <f t="shared" si="2"/>
        <v>6.2204276916784595E-2</v>
      </c>
      <c r="R36" s="8">
        <f t="shared" si="2"/>
        <v>0.1127197165898132</v>
      </c>
    </row>
    <row r="37" spans="2:18" ht="15.75">
      <c r="B37">
        <v>0.4</v>
      </c>
      <c r="C37" s="8">
        <f t="shared" si="2"/>
        <v>-1.3284353596997076</v>
      </c>
      <c r="D37" s="8">
        <f t="shared" si="2"/>
        <v>-0.93940790999968726</v>
      </c>
      <c r="E37" s="8">
        <f t="shared" si="2"/>
        <v>-0.62020125206866417</v>
      </c>
      <c r="F37" s="8">
        <f t="shared" si="2"/>
        <v>-0.37982646266955722</v>
      </c>
      <c r="G37" s="8">
        <f t="shared" si="2"/>
        <v>-0.21302666571573212</v>
      </c>
      <c r="H37" s="8">
        <f t="shared" si="2"/>
        <v>-0.10614585697229464</v>
      </c>
      <c r="I37" s="8">
        <f t="shared" si="2"/>
        <v>-4.3699491752806928E-2</v>
      </c>
      <c r="J37" s="8">
        <f t="shared" si="2"/>
        <v>-1.2014449070394246E-2</v>
      </c>
      <c r="K37" s="8">
        <f t="shared" si="2"/>
        <v>-4.363477668825784E-5</v>
      </c>
      <c r="L37" s="8">
        <f t="shared" si="2"/>
        <v>1.2793173879445867E-3</v>
      </c>
      <c r="M37" s="8">
        <f t="shared" si="2"/>
        <v>0</v>
      </c>
      <c r="N37" s="8">
        <f t="shared" si="2"/>
        <v>3.839317387944588E-3</v>
      </c>
      <c r="O37" s="8">
        <f t="shared" si="2"/>
        <v>2.0436365223311749E-2</v>
      </c>
      <c r="P37" s="8">
        <f t="shared" si="2"/>
        <v>5.7105550929605772E-2</v>
      </c>
      <c r="Q37" s="8">
        <f t="shared" si="2"/>
        <v>0.12014050824719313</v>
      </c>
      <c r="R37" s="8">
        <f t="shared" si="2"/>
        <v>0.21385414302770542</v>
      </c>
    </row>
    <row r="38" spans="2:18" ht="15.75">
      <c r="B38">
        <v>0.5</v>
      </c>
      <c r="C38" s="8">
        <f t="shared" si="2"/>
        <v>-2.0946003119134908</v>
      </c>
      <c r="D38" s="8">
        <f t="shared" si="2"/>
        <v>-1.4702810742181387</v>
      </c>
      <c r="E38" s="8">
        <f t="shared" si="2"/>
        <v>-0.95533057044660952</v>
      </c>
      <c r="F38" s="8">
        <f t="shared" si="2"/>
        <v>-0.57034855990147881</v>
      </c>
      <c r="G38" s="8">
        <f t="shared" si="2"/>
        <v>-0.3080677064760392</v>
      </c>
      <c r="H38" s="8">
        <f t="shared" si="2"/>
        <v>-0.14481612689901294</v>
      </c>
      <c r="I38" s="8">
        <f t="shared" si="2"/>
        <v>-5.3350569829701017E-2</v>
      </c>
      <c r="J38" s="8">
        <f t="shared" si="2"/>
        <v>-9.9657208406137565E-3</v>
      </c>
      <c r="K38" s="8">
        <f t="shared" si="2"/>
        <v>3.9147758267807468E-3</v>
      </c>
      <c r="L38" s="8">
        <f t="shared" si="2"/>
        <v>2.9986667733292705E-3</v>
      </c>
      <c r="M38" s="8">
        <f t="shared" si="2"/>
        <v>0</v>
      </c>
      <c r="N38" s="8">
        <f t="shared" si="2"/>
        <v>6.998666773329271E-3</v>
      </c>
      <c r="O38" s="8">
        <f t="shared" si="2"/>
        <v>3.5914775826780751E-2</v>
      </c>
      <c r="P38" s="8">
        <f t="shared" si="2"/>
        <v>9.8034279159386242E-2</v>
      </c>
      <c r="Q38" s="8">
        <f t="shared" si="2"/>
        <v>0.20264943017029904</v>
      </c>
      <c r="R38" s="8">
        <f t="shared" si="2"/>
        <v>0.35518387310098709</v>
      </c>
    </row>
    <row r="39" spans="2:18" ht="15.75">
      <c r="B39">
        <v>0.6</v>
      </c>
      <c r="C39" s="8">
        <f t="shared" si="2"/>
        <v>-3.0434693389865126</v>
      </c>
      <c r="D39" s="8">
        <f t="shared" si="2"/>
        <v>-2.1207416962489436</v>
      </c>
      <c r="E39" s="8">
        <f t="shared" si="2"/>
        <v>-1.355899225731741</v>
      </c>
      <c r="F39" s="8">
        <f t="shared" si="2"/>
        <v>-0.78799431150975541</v>
      </c>
      <c r="G39" s="8">
        <f t="shared" si="2"/>
        <v>-0.40792499679059568</v>
      </c>
      <c r="H39" s="8">
        <f t="shared" si="2"/>
        <v>-0.17824226728149434</v>
      </c>
      <c r="I39" s="8">
        <f t="shared" si="2"/>
        <v>-5.5325784665723354E-2</v>
      </c>
      <c r="J39" s="8">
        <f t="shared" si="2"/>
        <v>-1.6687656125805722E-3</v>
      </c>
      <c r="K39" s="8">
        <f t="shared" si="2"/>
        <v>1.1372732628677135E-2</v>
      </c>
      <c r="L39" s="8">
        <f t="shared" si="2"/>
        <v>5.7576961843129795E-3</v>
      </c>
      <c r="M39" s="8">
        <f t="shared" si="2"/>
        <v>0</v>
      </c>
      <c r="N39" s="8">
        <f t="shared" si="2"/>
        <v>1.1517696184312981E-2</v>
      </c>
      <c r="O39" s="8">
        <f t="shared" si="2"/>
        <v>5.7452732628677144E-2</v>
      </c>
      <c r="P39" s="8">
        <f t="shared" si="2"/>
        <v>0.15385123438741943</v>
      </c>
      <c r="Q39" s="8">
        <f t="shared" si="2"/>
        <v>0.31331421533427672</v>
      </c>
      <c r="R39" s="8">
        <f t="shared" si="2"/>
        <v>0.54175773271850569</v>
      </c>
    </row>
    <row r="40" spans="2:18" ht="15.75">
      <c r="B40">
        <v>0.7</v>
      </c>
      <c r="C40" s="8">
        <f t="shared" si="2"/>
        <v>-4.179583255890619</v>
      </c>
      <c r="D40" s="8">
        <f t="shared" si="2"/>
        <v>-2.891379267654572</v>
      </c>
      <c r="E40" s="8">
        <f t="shared" si="2"/>
        <v>-1.8186110853054962</v>
      </c>
      <c r="F40" s="8">
        <f t="shared" si="2"/>
        <v>-1.0272124483696579</v>
      </c>
      <c r="G40" s="8">
        <f t="shared" si="2"/>
        <v>-0.5066497865702515</v>
      </c>
      <c r="H40" s="8">
        <f t="shared" si="2"/>
        <v>-0.20137545221089148</v>
      </c>
      <c r="I40" s="8">
        <f t="shared" si="2"/>
        <v>-4.6041963612699605E-2</v>
      </c>
      <c r="J40" s="8">
        <f t="shared" si="2"/>
        <v>1.4990062013355829E-2</v>
      </c>
      <c r="K40" s="8">
        <f t="shared" si="2"/>
        <v>2.3286144868686361E-2</v>
      </c>
      <c r="L40" s="8">
        <f t="shared" si="2"/>
        <v>9.7963416260155138E-3</v>
      </c>
      <c r="M40" s="8">
        <f t="shared" si="2"/>
        <v>0</v>
      </c>
      <c r="N40" s="8">
        <f t="shared" si="2"/>
        <v>1.7636341626015517E-2</v>
      </c>
      <c r="O40" s="8">
        <f t="shared" si="2"/>
        <v>8.6006144868686379E-2</v>
      </c>
      <c r="P40" s="8">
        <f t="shared" si="2"/>
        <v>0.22667006201335582</v>
      </c>
      <c r="Q40" s="8">
        <f t="shared" si="2"/>
        <v>0.45571803638730046</v>
      </c>
      <c r="R40" s="8">
        <f t="shared" si="2"/>
        <v>0.77862454778910839</v>
      </c>
    </row>
    <row r="41" spans="2:18" ht="15.75">
      <c r="B41">
        <v>0.8</v>
      </c>
      <c r="C41" s="8">
        <f t="shared" si="2"/>
        <v>-5.5074828775976599</v>
      </c>
      <c r="D41" s="8">
        <f t="shared" si="2"/>
        <v>-3.782783279997497</v>
      </c>
      <c r="E41" s="8">
        <f t="shared" si="2"/>
        <v>-2.3401700165493122</v>
      </c>
      <c r="F41" s="8">
        <f t="shared" si="2"/>
        <v>-1.2824517013564576</v>
      </c>
      <c r="G41" s="8">
        <f t="shared" si="2"/>
        <v>-0.5982933257258567</v>
      </c>
      <c r="H41" s="8">
        <f t="shared" si="2"/>
        <v>-0.20916685577835703</v>
      </c>
      <c r="I41" s="8">
        <f t="shared" si="2"/>
        <v>-2.1915934022455286E-2</v>
      </c>
      <c r="J41" s="8">
        <f t="shared" si="2"/>
        <v>4.2124407436846062E-2</v>
      </c>
      <c r="K41" s="8">
        <f t="shared" si="2"/>
        <v>4.0610921786493955E-2</v>
      </c>
      <c r="L41" s="8">
        <f t="shared" si="2"/>
        <v>1.5354539103556695E-2</v>
      </c>
      <c r="M41" s="8">
        <f t="shared" si="2"/>
        <v>0</v>
      </c>
      <c r="N41" s="8">
        <f t="shared" si="2"/>
        <v>2.5594539103556701E-2</v>
      </c>
      <c r="O41" s="8">
        <f t="shared" si="2"/>
        <v>0.122530921786494</v>
      </c>
      <c r="P41" s="8">
        <f t="shared" si="2"/>
        <v>0.31860440743684615</v>
      </c>
      <c r="Q41" s="8">
        <f t="shared" si="2"/>
        <v>0.63344406597754499</v>
      </c>
      <c r="R41" s="8">
        <f t="shared" si="2"/>
        <v>1.0708331442216432</v>
      </c>
    </row>
    <row r="42" spans="2:18" ht="15.75">
      <c r="B42">
        <v>0.9</v>
      </c>
      <c r="C42" s="8">
        <f t="shared" si="2"/>
        <v>-7.0317090190794804</v>
      </c>
      <c r="D42" s="8">
        <f t="shared" si="2"/>
        <v>-4.795543224840185</v>
      </c>
      <c r="E42" s="8">
        <f t="shared" si="2"/>
        <v>-2.9172798868446259</v>
      </c>
      <c r="F42" s="8">
        <f t="shared" si="2"/>
        <v>-1.5481608013454249</v>
      </c>
      <c r="G42" s="8">
        <f t="shared" si="2"/>
        <v>-0.67690686416826051</v>
      </c>
      <c r="H42" s="8">
        <f t="shared" si="2"/>
        <v>-0.19656765207504345</v>
      </c>
      <c r="I42" s="8">
        <f t="shared" si="2"/>
        <v>2.0635476753183779E-2</v>
      </c>
      <c r="J42" s="8">
        <f t="shared" si="2"/>
        <v>8.1847916057540604E-2</v>
      </c>
      <c r="K42" s="8">
        <f t="shared" si="2"/>
        <v>6.4302972621785331E-2</v>
      </c>
      <c r="L42" s="8">
        <f t="shared" si="2"/>
        <v>2.267222462205631E-2</v>
      </c>
      <c r="M42" s="8">
        <f t="shared" si="2"/>
        <v>0</v>
      </c>
      <c r="N42" s="8">
        <f t="shared" si="2"/>
        <v>3.5632224622056313E-2</v>
      </c>
      <c r="O42" s="8">
        <f t="shared" si="2"/>
        <v>0.16798297262178538</v>
      </c>
      <c r="P42" s="8">
        <f t="shared" si="2"/>
        <v>0.43176791605754061</v>
      </c>
      <c r="Q42" s="8">
        <f t="shared" si="2"/>
        <v>0.85007547675318407</v>
      </c>
      <c r="R42" s="8">
        <f t="shared" si="2"/>
        <v>1.4234323479249567</v>
      </c>
    </row>
    <row r="43" spans="2:18" ht="15.75">
      <c r="B43">
        <v>1</v>
      </c>
      <c r="C43" s="8">
        <f t="shared" si="2"/>
        <v>-8.7568024953079284</v>
      </c>
      <c r="D43" s="8">
        <f t="shared" si="2"/>
        <v>-5.9302485937451097</v>
      </c>
      <c r="E43" s="8">
        <f t="shared" si="2"/>
        <v>-3.5466445635728747</v>
      </c>
      <c r="F43" s="8">
        <f t="shared" si="2"/>
        <v>-1.818788479211831</v>
      </c>
      <c r="G43" s="8">
        <f t="shared" si="2"/>
        <v>-0.73654165180831355</v>
      </c>
      <c r="H43" s="8">
        <f t="shared" si="2"/>
        <v>-0.1585290151921035</v>
      </c>
      <c r="I43" s="8">
        <f t="shared" si="2"/>
        <v>8.5195441362391988E-2</v>
      </c>
      <c r="J43" s="8">
        <f t="shared" si="2"/>
        <v>0.13627423327508995</v>
      </c>
      <c r="K43" s="8">
        <f t="shared" si="2"/>
        <v>9.531820661424599E-2</v>
      </c>
      <c r="L43" s="8">
        <f t="shared" si="2"/>
        <v>3.1989334186634168E-2</v>
      </c>
      <c r="M43" s="8">
        <f t="shared" si="2"/>
        <v>0</v>
      </c>
      <c r="N43" s="8">
        <f t="shared" si="2"/>
        <v>4.7989334186634168E-2</v>
      </c>
      <c r="O43" s="8">
        <f t="shared" si="2"/>
        <v>0.22331820661424601</v>
      </c>
      <c r="P43" s="8">
        <f t="shared" si="2"/>
        <v>0.56827423327508997</v>
      </c>
      <c r="Q43" s="8">
        <f t="shared" si="2"/>
        <v>1.1091954413623921</v>
      </c>
      <c r="R43" s="8">
        <f t="shared" si="2"/>
        <v>1.8414709848078965</v>
      </c>
    </row>
    <row r="44" spans="2:18" ht="15.75">
      <c r="B44">
        <v>1.1000000000000001</v>
      </c>
      <c r="C44" s="8">
        <f t="shared" si="2"/>
        <v>-10.687304121254854</v>
      </c>
      <c r="D44" s="8">
        <f t="shared" si="2"/>
        <v>-7.1874888782747419</v>
      </c>
      <c r="E44" s="8">
        <f t="shared" si="2"/>
        <v>-4.2249679141154974</v>
      </c>
      <c r="F44" s="8">
        <f t="shared" si="2"/>
        <v>-2.0887834658309474</v>
      </c>
      <c r="G44" s="8">
        <f t="shared" si="2"/>
        <v>-0.77124893855686527</v>
      </c>
      <c r="H44" s="8">
        <f t="shared" si="2"/>
        <v>-9.000211922068968E-2</v>
      </c>
      <c r="I44" s="8">
        <f t="shared" si="2"/>
        <v>0.17534713245334388</v>
      </c>
      <c r="J44" s="8">
        <f t="shared" si="2"/>
        <v>0.20751700448914484</v>
      </c>
      <c r="K44" s="8">
        <f t="shared" si="2"/>
        <v>0.13461253300356146</v>
      </c>
      <c r="L44" s="8">
        <f t="shared" si="2"/>
        <v>4.3545803802410091E-2</v>
      </c>
      <c r="M44" s="8">
        <f t="shared" si="2"/>
        <v>0</v>
      </c>
      <c r="N44" s="8">
        <f t="shared" si="2"/>
        <v>6.2905803802410093E-2</v>
      </c>
      <c r="O44" s="8">
        <f t="shared" si="2"/>
        <v>0.28949253300356154</v>
      </c>
      <c r="P44" s="8">
        <f t="shared" si="2"/>
        <v>0.73023700448914486</v>
      </c>
      <c r="Q44" s="8">
        <f t="shared" si="2"/>
        <v>1.4143871324533444</v>
      </c>
      <c r="R44" s="8">
        <f t="shared" si="2"/>
        <v>2.3299978807793105</v>
      </c>
    </row>
    <row r="45" spans="2:18" ht="15.75">
      <c r="B45">
        <v>1.2</v>
      </c>
      <c r="C45" s="8">
        <f t="shared" si="2"/>
        <v>-12.8277547118921</v>
      </c>
      <c r="D45" s="8">
        <f t="shared" si="2"/>
        <v>-8.5678535699915486</v>
      </c>
      <c r="E45" s="8">
        <f t="shared" si="2"/>
        <v>-4.9489538058539271</v>
      </c>
      <c r="F45" s="8">
        <f t="shared" si="2"/>
        <v>-2.3525944920780439</v>
      </c>
      <c r="G45" s="8">
        <f t="shared" si="2"/>
        <v>-0.77507997432476583</v>
      </c>
      <c r="H45" s="8">
        <f t="shared" si="2"/>
        <v>1.4061861748045246E-2</v>
      </c>
      <c r="I45" s="8">
        <f t="shared" si="2"/>
        <v>0.29467372267421332</v>
      </c>
      <c r="J45" s="8">
        <f t="shared" si="2"/>
        <v>0.29768987509935541</v>
      </c>
      <c r="K45" s="8">
        <f t="shared" si="2"/>
        <v>0.1831418610294171</v>
      </c>
      <c r="L45" s="8">
        <f t="shared" si="2"/>
        <v>5.7581569474503838E-2</v>
      </c>
      <c r="M45" s="8">
        <f t="shared" si="2"/>
        <v>0</v>
      </c>
      <c r="N45" s="8">
        <f t="shared" si="2"/>
        <v>8.0621569474503843E-2</v>
      </c>
      <c r="O45" s="8">
        <f t="shared" si="2"/>
        <v>0.36746186102941714</v>
      </c>
      <c r="P45" s="8">
        <f t="shared" si="2"/>
        <v>0.91976987509935537</v>
      </c>
      <c r="Q45" s="8">
        <f t="shared" si="2"/>
        <v>1.7692337226742136</v>
      </c>
      <c r="R45" s="8">
        <f t="shared" si="2"/>
        <v>2.8940618617480451</v>
      </c>
    </row>
    <row r="46" spans="2:18" ht="15.75">
      <c r="B46">
        <v>1.3</v>
      </c>
      <c r="C46" s="8">
        <f t="shared" si="2"/>
        <v>-15.18269508219152</v>
      </c>
      <c r="D46" s="8">
        <f t="shared" si="2"/>
        <v>-10.071932160458006</v>
      </c>
      <c r="E46" s="8">
        <f t="shared" si="2"/>
        <v>-5.7153061061696055</v>
      </c>
      <c r="F46" s="8">
        <f t="shared" si="2"/>
        <v>-2.6046702888283928</v>
      </c>
      <c r="G46" s="8">
        <f t="shared" si="2"/>
        <v>-0.7420860090228647</v>
      </c>
      <c r="H46" s="8">
        <f t="shared" si="2"/>
        <v>0.15871175362294898</v>
      </c>
      <c r="I46" s="8">
        <f t="shared" si="2"/>
        <v>0.44675838467317552</v>
      </c>
      <c r="J46" s="8">
        <f t="shared" si="2"/>
        <v>0.40890649050537275</v>
      </c>
      <c r="K46" s="8">
        <f t="shared" si="2"/>
        <v>0.24186209993149854</v>
      </c>
      <c r="L46" s="8">
        <f t="shared" si="2"/>
        <v>7.433656720803529E-2</v>
      </c>
      <c r="M46" s="8">
        <f t="shared" si="2"/>
        <v>0</v>
      </c>
      <c r="N46" s="8">
        <f t="shared" si="2"/>
        <v>0.1013765672080353</v>
      </c>
      <c r="O46" s="8">
        <f t="shared" si="2"/>
        <v>0.45818209993149861</v>
      </c>
      <c r="P46" s="8">
        <f t="shared" si="2"/>
        <v>1.1389864905053728</v>
      </c>
      <c r="Q46" s="8">
        <f t="shared" si="2"/>
        <v>2.1773183846731761</v>
      </c>
      <c r="R46" s="8">
        <f t="shared" si="2"/>
        <v>3.5387117536229491</v>
      </c>
    </row>
    <row r="47" spans="2:18" ht="15.75">
      <c r="B47">
        <v>1.4</v>
      </c>
      <c r="C47" s="8">
        <f t="shared" si="2"/>
        <v>-17.756666047124952</v>
      </c>
      <c r="D47" s="8">
        <f t="shared" si="2"/>
        <v>-11.700314141236577</v>
      </c>
      <c r="E47" s="8">
        <f t="shared" si="2"/>
        <v>-6.5207286824439672</v>
      </c>
      <c r="F47" s="8">
        <f t="shared" si="2"/>
        <v>-2.8394595869572647</v>
      </c>
      <c r="G47" s="8">
        <f t="shared" si="2"/>
        <v>-0.6663182925620128</v>
      </c>
      <c r="H47" s="8">
        <f t="shared" si="2"/>
        <v>0.34899638231286789</v>
      </c>
      <c r="I47" s="8">
        <f t="shared" si="2"/>
        <v>0.63518429109840335</v>
      </c>
      <c r="J47" s="8">
        <f t="shared" si="2"/>
        <v>0.54328049610684659</v>
      </c>
      <c r="K47" s="8">
        <f t="shared" si="2"/>
        <v>0.31172915894949094</v>
      </c>
      <c r="L47" s="8">
        <f t="shared" si="2"/>
        <v>9.4050733008124124E-2</v>
      </c>
      <c r="M47" s="8">
        <f t="shared" si="2"/>
        <v>0</v>
      </c>
      <c r="N47" s="8">
        <f t="shared" si="2"/>
        <v>0.12541073300812414</v>
      </c>
      <c r="O47" s="8">
        <f t="shared" si="2"/>
        <v>0.56260915894949093</v>
      </c>
      <c r="P47" s="8">
        <f t="shared" si="2"/>
        <v>1.3900004961068464</v>
      </c>
      <c r="Q47" s="8">
        <f t="shared" si="2"/>
        <v>2.6422242910984037</v>
      </c>
      <c r="R47" s="8">
        <f t="shared" si="2"/>
        <v>4.2689963823128672</v>
      </c>
    </row>
    <row r="48" spans="2:18" ht="15.75">
      <c r="B48">
        <v>1.5</v>
      </c>
      <c r="C48" s="8">
        <f t="shared" si="2"/>
        <v>-20.554208421664256</v>
      </c>
      <c r="D48" s="8">
        <f t="shared" si="2"/>
        <v>-13.453589003889743</v>
      </c>
      <c r="E48" s="8">
        <f t="shared" si="2"/>
        <v>-7.3619254020584517</v>
      </c>
      <c r="F48" s="8">
        <f t="shared" si="2"/>
        <v>-3.0514111173399305</v>
      </c>
      <c r="G48" s="8">
        <f t="shared" si="2"/>
        <v>-0.54182807485305817</v>
      </c>
      <c r="H48" s="8">
        <f t="shared" si="2"/>
        <v>0.58996457372665079</v>
      </c>
      <c r="I48" s="8">
        <f t="shared" si="2"/>
        <v>0.86353461459807312</v>
      </c>
      <c r="J48" s="8">
        <f t="shared" si="2"/>
        <v>0.70292553730342866</v>
      </c>
      <c r="K48" s="8">
        <f t="shared" si="2"/>
        <v>0.3936989473230802</v>
      </c>
      <c r="L48" s="8">
        <f t="shared" si="2"/>
        <v>0.11696400287989032</v>
      </c>
      <c r="M48" s="8">
        <f t="shared" si="2"/>
        <v>0</v>
      </c>
      <c r="N48" s="8">
        <f t="shared" si="2"/>
        <v>0.15296400287989034</v>
      </c>
      <c r="O48" s="8">
        <f t="shared" si="2"/>
        <v>0.68169894732308023</v>
      </c>
      <c r="P48" s="8">
        <f t="shared" si="2"/>
        <v>1.6749255373034286</v>
      </c>
      <c r="Q48" s="8">
        <f t="shared" si="2"/>
        <v>3.1675346145980736</v>
      </c>
      <c r="R48" s="8">
        <f t="shared" si="2"/>
        <v>5.0899645737266503</v>
      </c>
    </row>
    <row r="49" spans="2:18" ht="15.75">
      <c r="B49">
        <v>1.6</v>
      </c>
      <c r="C49" s="8">
        <f t="shared" si="2"/>
        <v>-23.579863020781278</v>
      </c>
      <c r="D49" s="8">
        <f t="shared" si="2"/>
        <v>-15.332346239979969</v>
      </c>
      <c r="E49" s="8">
        <f t="shared" si="2"/>
        <v>-8.2356001323944952</v>
      </c>
      <c r="F49" s="8">
        <f t="shared" si="2"/>
        <v>-3.2349736108516614</v>
      </c>
      <c r="G49" s="8">
        <f t="shared" si="2"/>
        <v>-0.36266660580685262</v>
      </c>
      <c r="H49" s="8">
        <f t="shared" si="2"/>
        <v>0.88666515377314425</v>
      </c>
      <c r="I49" s="8">
        <f t="shared" si="2"/>
        <v>1.1353925278203583</v>
      </c>
      <c r="J49" s="8">
        <f t="shared" si="2"/>
        <v>0.88995525949476861</v>
      </c>
      <c r="K49" s="8">
        <f t="shared" si="2"/>
        <v>0.48872737429195168</v>
      </c>
      <c r="L49" s="8">
        <f t="shared" si="2"/>
        <v>0.14331631282845358</v>
      </c>
      <c r="M49" s="8">
        <f t="shared" si="2"/>
        <v>0</v>
      </c>
      <c r="N49" s="8">
        <f t="shared" si="2"/>
        <v>0.18427631282845358</v>
      </c>
      <c r="O49" s="8">
        <f t="shared" si="2"/>
        <v>0.81640737429195187</v>
      </c>
      <c r="P49" s="8">
        <f t="shared" si="2"/>
        <v>1.9958752594947688</v>
      </c>
      <c r="Q49" s="8">
        <f t="shared" si="2"/>
        <v>3.7568325278203591</v>
      </c>
      <c r="R49" s="8">
        <f t="shared" ref="D49:R53" si="3">$B49^3 * SIN(R$2^2) + $B49^2 * R$2^3</f>
        <v>6.0066651537731452</v>
      </c>
    </row>
    <row r="50" spans="2:18" ht="15.75">
      <c r="B50">
        <v>1.7</v>
      </c>
      <c r="C50" s="8">
        <f t="shared" ref="C50:C53" si="4">$B50^3 * SIN(C$2^2) + $B50^2 * C$2^3</f>
        <v>-26.838170659447847</v>
      </c>
      <c r="D50" s="8">
        <f t="shared" si="3"/>
        <v>-17.337175341069717</v>
      </c>
      <c r="E50" s="8">
        <f t="shared" si="3"/>
        <v>-9.1384567408335293</v>
      </c>
      <c r="F50" s="8">
        <f t="shared" si="3"/>
        <v>-3.3845957983677266</v>
      </c>
      <c r="G50" s="8">
        <f t="shared" si="3"/>
        <v>-0.12288513533424439</v>
      </c>
      <c r="H50" s="8">
        <f t="shared" si="3"/>
        <v>1.2441469483611955</v>
      </c>
      <c r="I50" s="8">
        <f t="shared" si="3"/>
        <v>1.4543412034134318</v>
      </c>
      <c r="J50" s="8">
        <f t="shared" si="3"/>
        <v>1.1064833080805168</v>
      </c>
      <c r="K50" s="8">
        <f t="shared" si="3"/>
        <v>0.59777034909579052</v>
      </c>
      <c r="L50" s="8">
        <f t="shared" si="3"/>
        <v>0.17334759885893364</v>
      </c>
      <c r="M50" s="8">
        <f t="shared" si="3"/>
        <v>0</v>
      </c>
      <c r="N50" s="8">
        <f t="shared" si="3"/>
        <v>0.21958759885893364</v>
      </c>
      <c r="O50" s="8">
        <f t="shared" si="3"/>
        <v>0.96769034909579055</v>
      </c>
      <c r="P50" s="8">
        <f t="shared" si="3"/>
        <v>2.3549633080805163</v>
      </c>
      <c r="Q50" s="8">
        <f t="shared" si="3"/>
        <v>4.4137012034134315</v>
      </c>
      <c r="R50" s="8">
        <f t="shared" si="3"/>
        <v>7.0241469483611949</v>
      </c>
    </row>
    <row r="51" spans="2:18" ht="15.75">
      <c r="B51">
        <v>1.8</v>
      </c>
      <c r="C51" s="8">
        <f t="shared" si="4"/>
        <v>-30.333672152635842</v>
      </c>
      <c r="D51" s="8">
        <f t="shared" si="3"/>
        <v>-19.468665798721474</v>
      </c>
      <c r="E51" s="8">
        <f t="shared" si="3"/>
        <v>-10.067199094757004</v>
      </c>
      <c r="F51" s="8">
        <f t="shared" si="3"/>
        <v>-3.4947264107634002</v>
      </c>
      <c r="G51" s="8">
        <f t="shared" si="3"/>
        <v>0.18346508665391603</v>
      </c>
      <c r="H51" s="8">
        <f t="shared" si="3"/>
        <v>1.6674587833996526</v>
      </c>
      <c r="I51" s="8">
        <f t="shared" si="3"/>
        <v>1.8239638140254708</v>
      </c>
      <c r="J51" s="8">
        <f t="shared" si="3"/>
        <v>1.3546233284603248</v>
      </c>
      <c r="K51" s="8">
        <f t="shared" si="3"/>
        <v>0.72178378097428275</v>
      </c>
      <c r="L51" s="8">
        <f t="shared" si="3"/>
        <v>0.20729779697645051</v>
      </c>
      <c r="M51" s="8">
        <f t="shared" si="3"/>
        <v>0</v>
      </c>
      <c r="N51" s="8">
        <f t="shared" si="3"/>
        <v>0.25913779697645051</v>
      </c>
      <c r="O51" s="8">
        <f t="shared" si="3"/>
        <v>1.1365037809742828</v>
      </c>
      <c r="P51" s="8">
        <f t="shared" si="3"/>
        <v>2.7543033284603249</v>
      </c>
      <c r="Q51" s="8">
        <f t="shared" si="3"/>
        <v>5.1417238140254717</v>
      </c>
      <c r="R51" s="8">
        <f t="shared" si="3"/>
        <v>8.147458783399653</v>
      </c>
    </row>
    <row r="52" spans="2:18" ht="15.75">
      <c r="B52">
        <v>1.9</v>
      </c>
      <c r="C52" s="8">
        <f t="shared" si="4"/>
        <v>-34.070908315317077</v>
      </c>
      <c r="D52" s="8">
        <f t="shared" si="3"/>
        <v>-21.727407104497704</v>
      </c>
      <c r="E52" s="8">
        <f t="shared" si="3"/>
        <v>-11.018531061546344</v>
      </c>
      <c r="F52" s="8">
        <f t="shared" si="3"/>
        <v>-3.5598141789139515</v>
      </c>
      <c r="G52" s="8">
        <f t="shared" si="3"/>
        <v>0.56233281024677595</v>
      </c>
      <c r="H52" s="8">
        <f t="shared" si="3"/>
        <v>2.1616494847973615</v>
      </c>
      <c r="I52" s="8">
        <f t="shared" si="3"/>
        <v>2.2478435323046471</v>
      </c>
      <c r="J52" s="8">
        <f t="shared" si="3"/>
        <v>1.6364889660338418</v>
      </c>
      <c r="K52" s="8">
        <f t="shared" si="3"/>
        <v>0.86172357916711328</v>
      </c>
      <c r="L52" s="8">
        <f t="shared" si="3"/>
        <v>0.24540684318612371</v>
      </c>
      <c r="M52" s="8">
        <f t="shared" si="3"/>
        <v>0</v>
      </c>
      <c r="N52" s="8">
        <f t="shared" si="3"/>
        <v>0.30316684318612375</v>
      </c>
      <c r="O52" s="8">
        <f t="shared" si="3"/>
        <v>1.3238035791671134</v>
      </c>
      <c r="P52" s="8">
        <f t="shared" si="3"/>
        <v>3.1960089660338418</v>
      </c>
      <c r="Q52" s="8">
        <f t="shared" si="3"/>
        <v>5.9444835323046474</v>
      </c>
      <c r="R52" s="8">
        <f t="shared" si="3"/>
        <v>9.3816494847973608</v>
      </c>
    </row>
    <row r="53" spans="2:18" ht="15.75">
      <c r="B53">
        <v>2</v>
      </c>
      <c r="C53" s="8">
        <f t="shared" si="4"/>
        <v>-38.054419962463427</v>
      </c>
      <c r="D53" s="8">
        <f t="shared" si="3"/>
        <v>-24.113988749960871</v>
      </c>
      <c r="E53" s="8">
        <f t="shared" si="3"/>
        <v>-11.989156508582994</v>
      </c>
      <c r="F53" s="8">
        <f t="shared" si="3"/>
        <v>-3.5743078336946503</v>
      </c>
      <c r="G53" s="8">
        <f t="shared" si="3"/>
        <v>1.0196667855334915</v>
      </c>
      <c r="H53" s="8">
        <f t="shared" si="3"/>
        <v>2.731767878463172</v>
      </c>
      <c r="I53" s="8">
        <f t="shared" si="3"/>
        <v>2.7295635308991364</v>
      </c>
      <c r="J53" s="8">
        <f t="shared" si="3"/>
        <v>1.9541938662007197</v>
      </c>
      <c r="K53" s="8">
        <f t="shared" si="3"/>
        <v>1.018545652913968</v>
      </c>
      <c r="L53" s="8">
        <f t="shared" si="3"/>
        <v>0.28791467349307331</v>
      </c>
      <c r="M53" s="8">
        <f t="shared" si="3"/>
        <v>0</v>
      </c>
      <c r="N53" s="8">
        <f t="shared" si="3"/>
        <v>0.35191467349307337</v>
      </c>
      <c r="O53" s="8">
        <f t="shared" si="3"/>
        <v>1.530545652913968</v>
      </c>
      <c r="P53" s="8">
        <f t="shared" si="3"/>
        <v>3.6821938662007194</v>
      </c>
      <c r="Q53" s="8">
        <f t="shared" si="3"/>
        <v>6.8255635308991369</v>
      </c>
      <c r="R53" s="8">
        <f t="shared" si="3"/>
        <v>10.731767878463172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>
      <selection activeCell="J3" sqref="J3"/>
    </sheetView>
  </sheetViews>
  <sheetFormatPr defaultRowHeight="15"/>
  <cols>
    <col min="6" max="6" width="9.140625" customWidth="1"/>
    <col min="7" max="7" width="8.7109375" customWidth="1"/>
  </cols>
  <sheetData>
    <row r="1" spans="1:7" ht="37.5" customHeight="1" thickBot="1">
      <c r="A1" s="9" t="s">
        <v>13</v>
      </c>
      <c r="B1" s="10" t="s">
        <v>14</v>
      </c>
      <c r="C1" s="11"/>
      <c r="D1" s="11"/>
      <c r="E1" s="11"/>
      <c r="F1" s="11"/>
      <c r="G1" s="12"/>
    </row>
    <row r="2" spans="1:7" ht="37.5" customHeight="1" thickBot="1">
      <c r="A2" s="13"/>
      <c r="B2" s="10" t="s">
        <v>15</v>
      </c>
      <c r="C2" s="11"/>
      <c r="D2" s="12"/>
      <c r="E2" s="20" t="s">
        <v>22</v>
      </c>
      <c r="F2" s="21"/>
      <c r="G2" s="22"/>
    </row>
    <row r="3" spans="1:7" ht="19.5" customHeight="1" thickBot="1">
      <c r="A3" s="13"/>
      <c r="B3" s="10" t="s">
        <v>16</v>
      </c>
      <c r="C3" s="11"/>
      <c r="D3" s="11"/>
      <c r="E3" s="11"/>
      <c r="F3" s="11"/>
      <c r="G3" s="12"/>
    </row>
    <row r="4" spans="1:7" ht="24.75" thickBot="1">
      <c r="A4" s="14"/>
      <c r="B4" s="15" t="s">
        <v>17</v>
      </c>
      <c r="C4" s="15" t="s">
        <v>18</v>
      </c>
      <c r="D4" s="16" t="s">
        <v>19</v>
      </c>
      <c r="E4" s="15" t="s">
        <v>17</v>
      </c>
      <c r="F4" s="15" t="s">
        <v>18</v>
      </c>
      <c r="G4" s="15" t="s">
        <v>19</v>
      </c>
    </row>
    <row r="5" spans="1:7" ht="37.5" customHeight="1" thickBot="1">
      <c r="A5" s="17" t="s">
        <v>20</v>
      </c>
      <c r="B5" s="18"/>
      <c r="C5" s="18"/>
      <c r="D5" s="18"/>
      <c r="E5" s="18"/>
      <c r="F5" s="18"/>
      <c r="G5" s="19"/>
    </row>
    <row r="6" spans="1:7" ht="15.75" thickBot="1">
      <c r="A6" s="15">
        <v>15</v>
      </c>
      <c r="B6" s="15">
        <v>26.8</v>
      </c>
      <c r="C6" s="15">
        <v>50</v>
      </c>
      <c r="D6" s="15">
        <v>75</v>
      </c>
      <c r="E6" s="16">
        <v>7.2</v>
      </c>
      <c r="F6" s="15">
        <v>13.9</v>
      </c>
      <c r="G6" s="15">
        <v>20.7</v>
      </c>
    </row>
    <row r="7" spans="1:7" ht="15.75" thickBot="1">
      <c r="A7" s="15">
        <v>16</v>
      </c>
      <c r="B7" s="15">
        <v>28.3</v>
      </c>
      <c r="C7" s="15">
        <v>54</v>
      </c>
      <c r="D7" s="15">
        <v>79.5</v>
      </c>
      <c r="E7" s="16">
        <v>7.3</v>
      </c>
      <c r="F7" s="15">
        <v>14.7</v>
      </c>
      <c r="G7" s="15">
        <v>21.6</v>
      </c>
    </row>
    <row r="8" spans="1:7" ht="15.75" thickBot="1">
      <c r="A8" s="15">
        <v>18</v>
      </c>
      <c r="B8" s="15">
        <v>31.8</v>
      </c>
      <c r="C8" s="15">
        <v>60.4</v>
      </c>
      <c r="D8" s="15">
        <v>89</v>
      </c>
      <c r="E8" s="16">
        <v>8.1</v>
      </c>
      <c r="F8" s="15">
        <v>14.9</v>
      </c>
      <c r="G8" s="15">
        <v>23.4</v>
      </c>
    </row>
    <row r="9" spans="1:7" ht="15.75" thickBot="1">
      <c r="A9" s="15">
        <v>20</v>
      </c>
      <c r="B9" s="15">
        <v>35.799999999999997</v>
      </c>
      <c r="C9" s="15">
        <v>68.5</v>
      </c>
      <c r="D9" s="15">
        <v>101</v>
      </c>
      <c r="E9" s="16">
        <v>9</v>
      </c>
      <c r="F9" s="15">
        <v>17.8</v>
      </c>
      <c r="G9" s="15">
        <v>26.5</v>
      </c>
    </row>
    <row r="10" spans="1:7" ht="37.5" customHeight="1" thickBot="1">
      <c r="A10" s="17" t="s">
        <v>21</v>
      </c>
      <c r="B10" s="18"/>
      <c r="C10" s="18"/>
      <c r="D10" s="18"/>
      <c r="E10" s="18"/>
      <c r="F10" s="18"/>
      <c r="G10" s="19"/>
    </row>
    <row r="11" spans="1:7" ht="15.75" thickBot="1">
      <c r="A11" s="15">
        <v>15</v>
      </c>
      <c r="B11" s="15">
        <v>7.2</v>
      </c>
      <c r="C11" s="15">
        <v>14</v>
      </c>
      <c r="D11" s="15">
        <v>20.8</v>
      </c>
      <c r="E11" s="16">
        <v>1</v>
      </c>
      <c r="F11" s="15">
        <v>2</v>
      </c>
      <c r="G11" s="15">
        <v>2.9</v>
      </c>
    </row>
    <row r="12" spans="1:7" ht="15.75" thickBot="1">
      <c r="A12" s="15">
        <v>16</v>
      </c>
      <c r="B12" s="15">
        <v>7.4</v>
      </c>
      <c r="C12" s="15">
        <v>14.9</v>
      </c>
      <c r="D12" s="15">
        <v>22</v>
      </c>
      <c r="E12" s="16">
        <v>1.1000000000000001</v>
      </c>
      <c r="F12" s="15">
        <v>2.2000000000000002</v>
      </c>
      <c r="G12" s="15">
        <v>3.1</v>
      </c>
    </row>
    <row r="13" spans="1:7" ht="15.75" thickBot="1">
      <c r="A13" s="15">
        <v>18</v>
      </c>
      <c r="B13" s="15">
        <v>8.3000000000000007</v>
      </c>
      <c r="C13" s="15">
        <v>15</v>
      </c>
      <c r="D13" s="15">
        <v>23.8</v>
      </c>
      <c r="E13" s="16">
        <v>1.2</v>
      </c>
      <c r="F13" s="15">
        <v>2.4</v>
      </c>
      <c r="G13" s="15">
        <v>3.2</v>
      </c>
    </row>
    <row r="14" spans="1:7" ht="15.75" thickBot="1">
      <c r="A14" s="15">
        <v>20</v>
      </c>
      <c r="B14" s="15">
        <v>9.1</v>
      </c>
      <c r="C14" s="15">
        <v>18</v>
      </c>
      <c r="D14" s="15">
        <v>27</v>
      </c>
      <c r="E14" s="16">
        <v>1.3</v>
      </c>
      <c r="F14" s="15">
        <v>2.5</v>
      </c>
      <c r="G14" s="15">
        <v>3.4</v>
      </c>
    </row>
  </sheetData>
  <mergeCells count="7">
    <mergeCell ref="B1:G1"/>
    <mergeCell ref="E2:G2"/>
    <mergeCell ref="B3:G3"/>
    <mergeCell ref="B2:D2"/>
    <mergeCell ref="A10:G10"/>
    <mergeCell ref="A5:G5"/>
    <mergeCell ref="A1:A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klass412</dc:creator>
  <cp:lastModifiedBy>klass412</cp:lastModifiedBy>
  <dcterms:created xsi:type="dcterms:W3CDTF">2023-11-28T06:35:10Z</dcterms:created>
  <dcterms:modified xsi:type="dcterms:W3CDTF">2023-11-28T07:58:24Z</dcterms:modified>
</cp:coreProperties>
</file>