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3250" windowHeight="12600"/>
  </bookViews>
  <sheets>
    <sheet name="1 задание" sheetId="1" r:id="rId1"/>
    <sheet name="2 задание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D3" i="2"/>
  <c r="E3" s="1"/>
  <c r="K3" i="1"/>
  <c r="D4" i="2"/>
  <c r="E4" s="1"/>
  <c r="D5"/>
  <c r="E5" s="1"/>
  <c r="D6"/>
  <c r="E6" s="1"/>
  <c r="D7"/>
  <c r="E7" s="1"/>
  <c r="D8"/>
  <c r="E8" s="1"/>
  <c r="D9"/>
  <c r="E9" s="1"/>
  <c r="D10"/>
  <c r="E10" s="1"/>
  <c r="D11"/>
  <c r="E11" s="1"/>
  <c r="L3" i="1"/>
  <c r="J3"/>
  <c r="I3"/>
  <c r="H3"/>
  <c r="C15" i="2" l="1"/>
  <c r="E12"/>
  <c r="D12"/>
  <c r="F6" s="1"/>
  <c r="G6" l="1"/>
  <c r="H6" s="1"/>
  <c r="A6" s="1"/>
  <c r="F8"/>
  <c r="F10"/>
  <c r="G10" s="1"/>
  <c r="F11"/>
  <c r="G11" s="1"/>
  <c r="F3"/>
  <c r="F4"/>
  <c r="F7"/>
  <c r="F5"/>
  <c r="F9"/>
  <c r="H4" l="1"/>
  <c r="G8"/>
  <c r="H8" s="1"/>
  <c r="A8" s="1"/>
  <c r="H10"/>
  <c r="A10" s="1"/>
  <c r="H11"/>
  <c r="A11" s="1"/>
  <c r="G7"/>
  <c r="H7" s="1"/>
  <c r="A7" s="1"/>
  <c r="G9"/>
  <c r="H9" s="1"/>
  <c r="A9" s="1"/>
  <c r="G4"/>
  <c r="G5"/>
  <c r="H5" s="1"/>
  <c r="A5" s="1"/>
  <c r="G3"/>
  <c r="F12"/>
  <c r="A4" l="1"/>
  <c r="A3"/>
  <c r="H3"/>
  <c r="G12"/>
  <c r="H12"/>
  <c r="C16" l="1"/>
  <c r="C14"/>
</calcChain>
</file>

<file path=xl/sharedStrings.xml><?xml version="1.0" encoding="utf-8"?>
<sst xmlns="http://schemas.openxmlformats.org/spreadsheetml/2006/main" count="40" uniqueCount="38">
  <si>
    <t>Название</t>
  </si>
  <si>
    <t>Количество серий</t>
  </si>
  <si>
    <t>Бюджет, млн</t>
  </si>
  <si>
    <t>Рейтинг</t>
  </si>
  <si>
    <t>Остаться в живых</t>
  </si>
  <si>
    <t>Дэдвуд</t>
  </si>
  <si>
    <t>Карточный домик</t>
  </si>
  <si>
    <t>Подпольная империя</t>
  </si>
  <si>
    <t>Друзья</t>
  </si>
  <si>
    <t>Скорая помощь</t>
  </si>
  <si>
    <t>Игра престолов</t>
  </si>
  <si>
    <t>Восьмое чувство</t>
  </si>
  <si>
    <t>Рим</t>
  </si>
  <si>
    <t>1 задание</t>
  </si>
  <si>
    <t>2 задание</t>
  </si>
  <si>
    <t>3 задание</t>
  </si>
  <si>
    <t>4 задание</t>
  </si>
  <si>
    <t>5 задание</t>
  </si>
  <si>
    <t>Кампания</t>
  </si>
  <si>
    <t>Бюджет</t>
  </si>
  <si>
    <t>Число показов рекламы</t>
  </si>
  <si>
    <t>Число переходов по ссылке</t>
  </si>
  <si>
    <t>Стоимость перехода по ссылке</t>
  </si>
  <si>
    <t>Стоимость рекламной кампании</t>
  </si>
  <si>
    <t>Бараш</t>
  </si>
  <si>
    <t>Ёжик</t>
  </si>
  <si>
    <t>Карыч</t>
  </si>
  <si>
    <t>Копатыч</t>
  </si>
  <si>
    <t>Крош</t>
  </si>
  <si>
    <t>Лосяш</t>
  </si>
  <si>
    <t>Нюша</t>
  </si>
  <si>
    <t>Пин</t>
  </si>
  <si>
    <t>Совунья</t>
  </si>
  <si>
    <t>Среднее:</t>
  </si>
  <si>
    <t>Стоимость одного показа</t>
  </si>
  <si>
    <t>Общий бюджет кампаний с числом показов рекламы от 300 до 700</t>
  </si>
  <si>
    <t>Количество компаний, потративших на рекламную компанию более 5000</t>
  </si>
  <si>
    <t>Название кампании с максимальной стоимостью рекламной кампании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</si>
</sst>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justify" vertical="top" wrapText="1"/>
    </xf>
    <xf numFmtId="0" fontId="1" fillId="0" borderId="6" xfId="0" applyFont="1" applyBorder="1" applyAlignment="1">
      <alignment horizontal="justify" vertical="top" wrapText="1"/>
    </xf>
    <xf numFmtId="0" fontId="1" fillId="0" borderId="4" xfId="0" applyFont="1" applyBorder="1" applyAlignment="1">
      <alignment horizontal="justify" vertical="top" wrapText="1"/>
    </xf>
    <xf numFmtId="0" fontId="1" fillId="0" borderId="3" xfId="0" applyFont="1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1" fillId="0" borderId="2" xfId="0" applyFont="1" applyBorder="1" applyAlignment="1">
      <alignment horizontal="justify" vertical="top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zoomScale="70" zoomScaleNormal="70" workbookViewId="0">
      <selection activeCell="P11" sqref="P11"/>
    </sheetView>
  </sheetViews>
  <sheetFormatPr defaultRowHeight="15"/>
  <cols>
    <col min="1" max="1" width="9" bestFit="1" customWidth="1"/>
    <col min="2" max="2" width="8.5703125" bestFit="1" customWidth="1"/>
    <col min="3" max="3" width="8.85546875" bestFit="1" customWidth="1"/>
    <col min="4" max="4" width="8.140625" bestFit="1" customWidth="1"/>
    <col min="7" max="10" width="12" bestFit="1" customWidth="1"/>
    <col min="11" max="11" width="12.28515625" bestFit="1" customWidth="1"/>
    <col min="12" max="12" width="12" bestFit="1" customWidth="1"/>
  </cols>
  <sheetData>
    <row r="1" spans="1:14" ht="19.5" thickBo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75.75" thickBot="1">
      <c r="B2" s="13" t="s">
        <v>1</v>
      </c>
      <c r="C2" s="2" t="s">
        <v>0</v>
      </c>
      <c r="D2" s="2" t="s">
        <v>1</v>
      </c>
      <c r="E2" s="2" t="s">
        <v>2</v>
      </c>
      <c r="F2" s="2" t="s">
        <v>3</v>
      </c>
      <c r="G2" s="6"/>
      <c r="H2" s="13" t="s">
        <v>13</v>
      </c>
      <c r="I2" s="14" t="s">
        <v>14</v>
      </c>
      <c r="J2" s="13" t="s">
        <v>15</v>
      </c>
      <c r="K2" s="13" t="s">
        <v>16</v>
      </c>
      <c r="L2" s="14" t="s">
        <v>17</v>
      </c>
      <c r="M2" s="6"/>
      <c r="N2" s="5"/>
    </row>
    <row r="3" spans="1:14" ht="75.75" thickBot="1">
      <c r="B3" s="3">
        <v>121</v>
      </c>
      <c r="C3" s="3" t="s">
        <v>4</v>
      </c>
      <c r="D3" s="4">
        <v>121</v>
      </c>
      <c r="E3" s="4">
        <v>4</v>
      </c>
      <c r="F3" s="4">
        <v>8.1</v>
      </c>
      <c r="G3" s="6"/>
      <c r="H3" s="13">
        <f>COUNTIF(E3:E11,"&gt;8")</f>
        <v>5</v>
      </c>
      <c r="I3" s="13">
        <f>COUNTIF(F3:F11,"&gt;9")</f>
        <v>2</v>
      </c>
      <c r="J3" s="13">
        <f>AVERAGEIF(F3:F11,"&gt;9",E3:E11)</f>
        <v>12.5</v>
      </c>
      <c r="K3" s="13">
        <f>AVERAGEIFS(F3:F11,E3:E11,"&gt;=5",E3:E11,"&lt;=10")</f>
        <v>8.3999999999999986</v>
      </c>
      <c r="L3" s="13" t="str">
        <f>VLOOKUP(MAX(B3:B11),B3:C11,2)</f>
        <v>Друзья</v>
      </c>
      <c r="M3" s="6"/>
      <c r="N3" s="5"/>
    </row>
    <row r="4" spans="1:14" ht="38.25" thickBot="1">
      <c r="B4" s="1">
        <v>36</v>
      </c>
      <c r="C4" s="3" t="s">
        <v>5</v>
      </c>
      <c r="D4" s="4">
        <v>36</v>
      </c>
      <c r="E4" s="4">
        <v>4.5</v>
      </c>
      <c r="F4" s="4">
        <v>7.9</v>
      </c>
      <c r="G4" s="6"/>
      <c r="H4" s="6"/>
      <c r="I4" s="6"/>
      <c r="J4" s="6"/>
      <c r="K4" s="6"/>
      <c r="L4" s="6"/>
      <c r="M4" s="6"/>
      <c r="N4" s="5"/>
    </row>
    <row r="5" spans="1:14" ht="57" thickBot="1">
      <c r="B5" s="1">
        <v>78</v>
      </c>
      <c r="C5" s="3" t="s">
        <v>6</v>
      </c>
      <c r="D5" s="4">
        <v>78</v>
      </c>
      <c r="E5" s="4">
        <v>4.5</v>
      </c>
      <c r="F5" s="4">
        <v>8.3000000000000007</v>
      </c>
      <c r="G5" s="6"/>
      <c r="H5" s="6"/>
      <c r="I5" s="6"/>
      <c r="J5" s="6"/>
      <c r="K5" s="6"/>
      <c r="L5" s="6"/>
      <c r="M5" s="6"/>
      <c r="N5" s="5"/>
    </row>
    <row r="6" spans="1:14" ht="75.75" thickBot="1">
      <c r="B6" s="1">
        <v>57</v>
      </c>
      <c r="C6" s="3" t="s">
        <v>7</v>
      </c>
      <c r="D6" s="4">
        <v>57</v>
      </c>
      <c r="E6" s="4">
        <v>5</v>
      </c>
      <c r="F6" s="4">
        <v>8.1</v>
      </c>
      <c r="G6" s="6"/>
      <c r="H6" s="6"/>
      <c r="I6" s="6"/>
      <c r="J6" s="6"/>
      <c r="K6" s="6"/>
      <c r="L6" s="6"/>
      <c r="M6" s="6"/>
      <c r="N6" s="5"/>
    </row>
    <row r="7" spans="1:14" ht="38.25" thickBot="1">
      <c r="B7" s="1">
        <v>388</v>
      </c>
      <c r="C7" s="3" t="s">
        <v>8</v>
      </c>
      <c r="D7" s="4">
        <v>388</v>
      </c>
      <c r="E7" s="4">
        <v>10</v>
      </c>
      <c r="F7" s="4">
        <v>9.3000000000000007</v>
      </c>
      <c r="G7" s="6"/>
      <c r="H7" s="6"/>
      <c r="I7" s="6"/>
      <c r="J7" s="6"/>
      <c r="K7" s="6"/>
      <c r="L7" s="6"/>
      <c r="M7" s="6"/>
      <c r="N7" s="5"/>
    </row>
    <row r="8" spans="1:14" ht="75.75" thickBot="1">
      <c r="B8" s="1">
        <v>335</v>
      </c>
      <c r="C8" s="3" t="s">
        <v>9</v>
      </c>
      <c r="D8" s="4">
        <v>335</v>
      </c>
      <c r="E8" s="4">
        <v>13</v>
      </c>
      <c r="F8" s="4">
        <v>6.9</v>
      </c>
      <c r="G8" s="6"/>
      <c r="H8" s="6"/>
      <c r="I8" s="6"/>
      <c r="J8" s="6"/>
      <c r="K8" s="6"/>
      <c r="L8" s="6"/>
      <c r="M8" s="6"/>
      <c r="N8" s="5"/>
    </row>
    <row r="9" spans="1:14" ht="57" thickBot="1">
      <c r="B9" s="1">
        <v>80</v>
      </c>
      <c r="C9" s="3" t="s">
        <v>10</v>
      </c>
      <c r="D9" s="4">
        <v>80</v>
      </c>
      <c r="E9" s="4">
        <v>15</v>
      </c>
      <c r="F9" s="4">
        <v>9.6</v>
      </c>
      <c r="G9" s="6"/>
      <c r="H9" s="6"/>
      <c r="I9" s="6"/>
      <c r="J9" s="6"/>
      <c r="K9" s="6"/>
      <c r="L9" s="6"/>
      <c r="M9" s="6"/>
      <c r="N9" s="5"/>
    </row>
    <row r="10" spans="1:14" ht="75.75" thickBot="1">
      <c r="B10" s="1">
        <v>26</v>
      </c>
      <c r="C10" s="3" t="s">
        <v>11</v>
      </c>
      <c r="D10" s="4">
        <v>26</v>
      </c>
      <c r="E10" s="4">
        <v>9</v>
      </c>
      <c r="F10" s="4">
        <v>7.9</v>
      </c>
      <c r="G10" s="6"/>
      <c r="H10" s="6"/>
      <c r="I10" s="6"/>
      <c r="J10" s="6"/>
      <c r="K10" s="6"/>
      <c r="L10" s="6"/>
      <c r="M10" s="6"/>
      <c r="N10" s="5"/>
    </row>
    <row r="11" spans="1:14" ht="19.5" thickBot="1">
      <c r="B11" s="1">
        <v>22</v>
      </c>
      <c r="C11" s="3" t="s">
        <v>12</v>
      </c>
      <c r="D11" s="4">
        <v>22</v>
      </c>
      <c r="E11" s="4">
        <v>9</v>
      </c>
      <c r="F11" s="4">
        <v>8.3000000000000007</v>
      </c>
      <c r="G11" s="5"/>
      <c r="H11" s="5"/>
      <c r="I11" s="5"/>
      <c r="J11" s="5"/>
      <c r="K11" s="5"/>
      <c r="L11" s="5"/>
      <c r="M11" s="5"/>
      <c r="N11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zoomScale="85" zoomScaleNormal="85" workbookViewId="0">
      <selection activeCell="A2" sqref="A2:H12"/>
    </sheetView>
  </sheetViews>
  <sheetFormatPr defaultRowHeight="15"/>
  <cols>
    <col min="1" max="1" width="11" customWidth="1"/>
    <col min="2" max="2" width="35.7109375" customWidth="1"/>
    <col min="3" max="3" width="10.28515625" bestFit="1" customWidth="1"/>
    <col min="4" max="4" width="14" bestFit="1" customWidth="1"/>
    <col min="5" max="5" width="16.28515625" bestFit="1" customWidth="1"/>
    <col min="6" max="6" width="11" customWidth="1"/>
    <col min="7" max="7" width="19" bestFit="1" customWidth="1"/>
    <col min="8" max="8" width="19.7109375" customWidth="1"/>
  </cols>
  <sheetData>
    <row r="1" spans="1:8" ht="15.75" thickBot="1"/>
    <row r="2" spans="1:8" ht="45" customHeight="1" thickBot="1">
      <c r="A2" s="7" t="s">
        <v>23</v>
      </c>
      <c r="B2" s="7" t="s">
        <v>18</v>
      </c>
      <c r="C2" s="7" t="s">
        <v>19</v>
      </c>
      <c r="D2" s="7" t="s">
        <v>20</v>
      </c>
      <c r="E2" s="7" t="s">
        <v>21</v>
      </c>
      <c r="F2" s="8" t="s">
        <v>34</v>
      </c>
      <c r="G2" s="7" t="s">
        <v>22</v>
      </c>
      <c r="H2" s="7" t="s">
        <v>23</v>
      </c>
    </row>
    <row r="3" spans="1:8" ht="15.75" thickBot="1">
      <c r="A3" s="18">
        <f ca="1">H3</f>
        <v>3092.88</v>
      </c>
      <c r="B3" s="11" t="s">
        <v>24</v>
      </c>
      <c r="C3" s="12">
        <v>500</v>
      </c>
      <c r="D3" s="12">
        <f ca="1">IF(C3&lt;1500,RANDBETWEEN(100,200),IF(C3&lt;4000,RANDBETWEEN(200,500),RANDBETWEEN(500,1000)))</f>
        <v>168</v>
      </c>
      <c r="E3" s="12">
        <f ca="1">IF(D3&gt;750,0.5*D3,IF(D3&lt;=250,0.841*D3,IF(D3&lt;500,0.722*D3,0.613*D3)))</f>
        <v>141.28799999999998</v>
      </c>
      <c r="F3" s="12">
        <f ca="1">IF(D3&lt;$D$12,RANDBETWEEN(8,10),IF(D3=$D$12,RANDBETWEEN(6,9),RANDBETWEEN(2,5)))</f>
        <v>10</v>
      </c>
      <c r="G3" s="12">
        <f ca="1">F3</f>
        <v>10</v>
      </c>
      <c r="H3" s="12">
        <f ca="1">D3*F3+E3*G3</f>
        <v>3092.88</v>
      </c>
    </row>
    <row r="4" spans="1:8" ht="15.75" thickBot="1">
      <c r="A4" s="18">
        <f t="shared" ref="A4:A12" ca="1" si="0">H4</f>
        <v>1983.7439999999999</v>
      </c>
      <c r="B4" s="10" t="s">
        <v>25</v>
      </c>
      <c r="C4" s="9">
        <v>1800</v>
      </c>
      <c r="D4" s="12">
        <f t="shared" ref="D4:D11" ca="1" si="1">IF(C4&lt;1500,RANDBETWEEN(100,200),IF(C4&lt;4000,RANDBETWEEN(200,500),RANDBETWEEN(500,1000)))</f>
        <v>384</v>
      </c>
      <c r="E4" s="12">
        <f t="shared" ref="E4:E11" ca="1" si="2">IF(D4&gt;750,0.5*D4,IF(D4&lt;=250,0.841*D4,IF(D4&lt;500,0.722*D4,0.613*D4)))</f>
        <v>277.24799999999999</v>
      </c>
      <c r="F4" s="12">
        <f t="shared" ref="F4:F11" ca="1" si="3">IF(D4&lt;$D$12,RANDBETWEEN(8,10),IF(D4=$D$12,RANDBETWEEN(6,9),RANDBETWEEN(2,5)))</f>
        <v>3</v>
      </c>
      <c r="G4" s="12">
        <f t="shared" ref="G4:G11" ca="1" si="4">F4</f>
        <v>3</v>
      </c>
      <c r="H4" s="12">
        <f ca="1">D4*F4+E4*G4</f>
        <v>1983.7439999999999</v>
      </c>
    </row>
    <row r="5" spans="1:8" ht="15.75" thickBot="1">
      <c r="A5" s="18">
        <f t="shared" ca="1" si="0"/>
        <v>1826.2719999999999</v>
      </c>
      <c r="B5" s="10" t="s">
        <v>26</v>
      </c>
      <c r="C5" s="9">
        <v>1000</v>
      </c>
      <c r="D5" s="12">
        <f t="shared" ca="1" si="1"/>
        <v>124</v>
      </c>
      <c r="E5" s="12">
        <f t="shared" ca="1" si="2"/>
        <v>104.28399999999999</v>
      </c>
      <c r="F5" s="12">
        <f t="shared" ca="1" si="3"/>
        <v>8</v>
      </c>
      <c r="G5" s="12">
        <f t="shared" ca="1" si="4"/>
        <v>8</v>
      </c>
      <c r="H5" s="12">
        <f t="shared" ref="H3:H8" ca="1" si="5">D5*F5+E5*G5</f>
        <v>1826.2719999999999</v>
      </c>
    </row>
    <row r="6" spans="1:8" ht="15.75" thickBot="1">
      <c r="A6" s="18">
        <f t="shared" ca="1" si="0"/>
        <v>3280.6620000000003</v>
      </c>
      <c r="B6" s="10" t="s">
        <v>27</v>
      </c>
      <c r="C6" s="9">
        <v>1000</v>
      </c>
      <c r="D6" s="12">
        <f t="shared" ca="1" si="1"/>
        <v>198</v>
      </c>
      <c r="E6" s="12">
        <f t="shared" ca="1" si="2"/>
        <v>166.518</v>
      </c>
      <c r="F6" s="12">
        <f t="shared" ca="1" si="3"/>
        <v>9</v>
      </c>
      <c r="G6" s="12">
        <f t="shared" ca="1" si="4"/>
        <v>9</v>
      </c>
      <c r="H6" s="12">
        <f t="shared" ca="1" si="5"/>
        <v>3280.6620000000003</v>
      </c>
    </row>
    <row r="7" spans="1:8" ht="15.75" thickBot="1">
      <c r="A7" s="18">
        <f t="shared" ca="1" si="0"/>
        <v>2865</v>
      </c>
      <c r="B7" s="10" t="s">
        <v>28</v>
      </c>
      <c r="C7" s="9">
        <v>9200</v>
      </c>
      <c r="D7" s="12">
        <f t="shared" ca="1" si="1"/>
        <v>955</v>
      </c>
      <c r="E7" s="12">
        <f t="shared" ca="1" si="2"/>
        <v>477.5</v>
      </c>
      <c r="F7" s="12">
        <f t="shared" ca="1" si="3"/>
        <v>2</v>
      </c>
      <c r="G7" s="12">
        <f t="shared" ca="1" si="4"/>
        <v>2</v>
      </c>
      <c r="H7" s="12">
        <f t="shared" ca="1" si="5"/>
        <v>2865</v>
      </c>
    </row>
    <row r="8" spans="1:8" ht="15.75" thickBot="1">
      <c r="A8" s="18">
        <f t="shared" ca="1" si="0"/>
        <v>3993.1289999999999</v>
      </c>
      <c r="B8" s="10" t="s">
        <v>29</v>
      </c>
      <c r="C8" s="9">
        <v>2000</v>
      </c>
      <c r="D8" s="12">
        <f t="shared" ca="1" si="1"/>
        <v>241</v>
      </c>
      <c r="E8" s="12">
        <f t="shared" ca="1" si="2"/>
        <v>202.68099999999998</v>
      </c>
      <c r="F8" s="12">
        <f t="shared" ca="1" si="3"/>
        <v>9</v>
      </c>
      <c r="G8" s="12">
        <f t="shared" ca="1" si="4"/>
        <v>9</v>
      </c>
      <c r="H8" s="12">
        <f t="shared" ca="1" si="5"/>
        <v>3993.1289999999999</v>
      </c>
    </row>
    <row r="9" spans="1:8" ht="15.75" thickBot="1">
      <c r="A9" s="18">
        <f t="shared" ca="1" si="0"/>
        <v>4903.5200000000004</v>
      </c>
      <c r="B9" s="10" t="s">
        <v>30</v>
      </c>
      <c r="C9" s="9">
        <v>4000</v>
      </c>
      <c r="D9" s="12">
        <f t="shared" ca="1" si="1"/>
        <v>608</v>
      </c>
      <c r="E9" s="12">
        <f t="shared" ca="1" si="2"/>
        <v>372.70400000000001</v>
      </c>
      <c r="F9" s="12">
        <f t="shared" ca="1" si="3"/>
        <v>5</v>
      </c>
      <c r="G9" s="12">
        <f t="shared" ca="1" si="4"/>
        <v>5</v>
      </c>
      <c r="H9" s="12">
        <f t="shared" ref="H9:H11" ca="1" si="6">D9*F9+E9*G9</f>
        <v>4903.5200000000004</v>
      </c>
    </row>
    <row r="10" spans="1:8" ht="15.75" thickBot="1">
      <c r="A10" s="18">
        <f t="shared" ca="1" si="0"/>
        <v>2949.2820000000002</v>
      </c>
      <c r="B10" s="10" t="s">
        <v>31</v>
      </c>
      <c r="C10" s="9">
        <v>500</v>
      </c>
      <c r="D10" s="12">
        <f t="shared" ca="1" si="1"/>
        <v>178</v>
      </c>
      <c r="E10" s="12">
        <f t="shared" ca="1" si="2"/>
        <v>149.69800000000001</v>
      </c>
      <c r="F10" s="12">
        <f t="shared" ca="1" si="3"/>
        <v>9</v>
      </c>
      <c r="G10" s="12">
        <f t="shared" ca="1" si="4"/>
        <v>9</v>
      </c>
      <c r="H10" s="12">
        <f t="shared" ca="1" si="6"/>
        <v>2949.2820000000002</v>
      </c>
    </row>
    <row r="11" spans="1:8" ht="15.75" thickBot="1">
      <c r="A11" s="18">
        <f t="shared" ca="1" si="0"/>
        <v>2827.7759999999998</v>
      </c>
      <c r="B11" s="10" t="s">
        <v>32</v>
      </c>
      <c r="C11" s="9">
        <v>500</v>
      </c>
      <c r="D11" s="12">
        <f t="shared" ca="1" si="1"/>
        <v>192</v>
      </c>
      <c r="E11" s="12">
        <f t="shared" ca="1" si="2"/>
        <v>161.47199999999998</v>
      </c>
      <c r="F11" s="12">
        <f t="shared" ca="1" si="3"/>
        <v>8</v>
      </c>
      <c r="G11" s="12">
        <f t="shared" ca="1" si="4"/>
        <v>8</v>
      </c>
      <c r="H11" s="12">
        <f t="shared" ca="1" si="6"/>
        <v>2827.7759999999998</v>
      </c>
    </row>
    <row r="12" spans="1:8" ht="15.75" thickBot="1">
      <c r="B12" s="10"/>
      <c r="C12" s="9" t="s">
        <v>33</v>
      </c>
      <c r="D12" s="9">
        <f ca="1">AVERAGE(D3:D11)</f>
        <v>338.66666666666669</v>
      </c>
      <c r="E12" s="9">
        <f ca="1">AVERAGE(E3:E11)</f>
        <v>228.15477777777778</v>
      </c>
      <c r="F12" s="9">
        <f ca="1">AVERAGE(F3:F11)</f>
        <v>7</v>
      </c>
      <c r="G12" s="9">
        <f ca="1">AVERAGE(G3:G11)</f>
        <v>7</v>
      </c>
      <c r="H12" s="9">
        <f ca="1">AVERAGE(H3:H11)</f>
        <v>3080.2516666666666</v>
      </c>
    </row>
    <row r="13" spans="1:8" ht="15.75" thickBot="1"/>
    <row r="14" spans="1:8" ht="57" thickBot="1">
      <c r="B14" s="15" t="s">
        <v>36</v>
      </c>
      <c r="C14" s="16">
        <f ca="1">COUNTIF(H3:H12,"&gt;5000")</f>
        <v>0</v>
      </c>
    </row>
    <row r="15" spans="1:8" ht="57" thickBot="1">
      <c r="B15" s="15" t="s">
        <v>35</v>
      </c>
      <c r="C15" s="16">
        <f ca="1">SUMIFS(C3:C11,D3:D11,"&lt;=700",D3:D11,"&gt;=300")</f>
        <v>5800</v>
      </c>
    </row>
    <row r="16" spans="1:8" ht="57" thickBot="1">
      <c r="B16" s="17" t="s">
        <v>37</v>
      </c>
      <c r="C16" s="16" t="str">
        <f ca="1">VLOOKUP(MAX(A3:A11),A3:B11,2,FALSE)</f>
        <v>Нюша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задание</vt:lpstr>
      <vt:lpstr>2 задание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klass412</dc:creator>
  <cp:lastModifiedBy>klass412</cp:lastModifiedBy>
  <dcterms:created xsi:type="dcterms:W3CDTF">2024-02-13T04:44:01Z</dcterms:created>
  <dcterms:modified xsi:type="dcterms:W3CDTF">2024-02-27T04:30:37Z</dcterms:modified>
</cp:coreProperties>
</file>