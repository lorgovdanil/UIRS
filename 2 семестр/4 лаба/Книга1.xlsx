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90" windowWidth="28755" windowHeight="12585" activeTab="2"/>
  </bookViews>
  <sheets>
    <sheet name="Задача 1" sheetId="1" r:id="rId1"/>
    <sheet name="Задача 2" sheetId="2" r:id="rId2"/>
    <sheet name="Лист3" sheetId="3" r:id="rId3"/>
  </sheets>
  <definedNames>
    <definedName name="solver_adj" localSheetId="0" hidden="1">'Задача 1'!$F$14:$G$14</definedName>
    <definedName name="solver_adj" localSheetId="1" hidden="1">'Задача 2'!$H$13:$K$13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st" localSheetId="0" hidden="1">1</definedName>
    <definedName name="solver_est" localSheetId="1" hidden="1">1</definedName>
    <definedName name="solver_itr" localSheetId="0" hidden="1">100</definedName>
    <definedName name="solver_itr" localSheetId="1" hidden="1">100</definedName>
    <definedName name="solver_lhs1" localSheetId="0" hidden="1">'Задача 1'!$F$17:$F$20</definedName>
    <definedName name="solver_lhs1" localSheetId="1" hidden="1">'Задача 2'!$H$16:$H$18</definedName>
    <definedName name="solver_lhs2" localSheetId="0" hidden="1">'Задача 1'!$F$14:$G$14</definedName>
    <definedName name="solver_lhs2" localSheetId="1" hidden="1">'Задача 2'!$H$13:$K$13</definedName>
    <definedName name="solver_lhs3" localSheetId="0" hidden="1">'Задача 1'!$F$19:$F$20</definedName>
    <definedName name="solver_lhs3" localSheetId="1" hidden="1">'Задача 2'!$H$13:$K$13</definedName>
    <definedName name="solver_lin" localSheetId="0" hidden="1">2</definedName>
    <definedName name="solver_lin" localSheetId="1" hidden="1">2</definedName>
    <definedName name="solver_neg" localSheetId="0" hidden="1">2</definedName>
    <definedName name="solver_neg" localSheetId="1" hidden="1">2</definedName>
    <definedName name="solver_num" localSheetId="0" hidden="1">2</definedName>
    <definedName name="solver_num" localSheetId="1" hidden="1">3</definedName>
    <definedName name="solver_nwt" localSheetId="0" hidden="1">1</definedName>
    <definedName name="solver_nwt" localSheetId="1" hidden="1">1</definedName>
    <definedName name="solver_opt" localSheetId="0" hidden="1">'Задача 1'!$F$10</definedName>
    <definedName name="solver_opt" localSheetId="1" hidden="1">'Задача 2'!$H$9</definedName>
    <definedName name="solver_pre" localSheetId="0" hidden="1">0.000001</definedName>
    <definedName name="solver_pre" localSheetId="1" hidden="1">0.000001</definedName>
    <definedName name="solver_rel1" localSheetId="0" hidden="1">1</definedName>
    <definedName name="solver_rel1" localSheetId="1" hidden="1">3</definedName>
    <definedName name="solver_rel2" localSheetId="0" hidden="1">4</definedName>
    <definedName name="solver_rel2" localSheetId="1" hidden="1">4</definedName>
    <definedName name="solver_rel3" localSheetId="0" hidden="1">1</definedName>
    <definedName name="solver_rel3" localSheetId="1" hidden="1">3</definedName>
    <definedName name="solver_rhs1" localSheetId="0" hidden="1">'Задача 1'!$H$17:$H$20</definedName>
    <definedName name="solver_rhs1" localSheetId="1" hidden="1">'Задача 2'!$J$16:$J$18</definedName>
    <definedName name="solver_rhs2" localSheetId="0" hidden="1">целое</definedName>
    <definedName name="solver_rhs2" localSheetId="1" hidden="1">целое</definedName>
    <definedName name="solver_rhs3" localSheetId="0" hidden="1">'Задача 1'!$H$19:$H$20</definedName>
    <definedName name="solver_rhs3" localSheetId="1" hidden="1">0</definedName>
    <definedName name="solver_scl" localSheetId="0" hidden="1">2</definedName>
    <definedName name="solver_scl" localSheetId="1" hidden="1">2</definedName>
    <definedName name="solver_sho" localSheetId="0" hidden="1">2</definedName>
    <definedName name="solver_sho" localSheetId="1" hidden="1">2</definedName>
    <definedName name="solver_tim" localSheetId="0" hidden="1">100</definedName>
    <definedName name="solver_tim" localSheetId="1" hidden="1">100</definedName>
    <definedName name="solver_tol" localSheetId="0" hidden="1">0.05</definedName>
    <definedName name="solver_tol" localSheetId="1" hidden="1">0.05</definedName>
    <definedName name="solver_typ" localSheetId="0" hidden="1">1</definedName>
    <definedName name="solver_typ" localSheetId="1" hidden="1">2</definedName>
    <definedName name="solver_val" localSheetId="0" hidden="1">0</definedName>
    <definedName name="solver_val" localSheetId="1" hidden="1">0</definedName>
  </definedNames>
  <calcPr calcId="125725"/>
</workbook>
</file>

<file path=xl/calcChain.xml><?xml version="1.0" encoding="utf-8"?>
<calcChain xmlns="http://schemas.openxmlformats.org/spreadsheetml/2006/main">
  <c r="J17" i="2"/>
  <c r="J18"/>
  <c r="J16"/>
  <c r="H17"/>
  <c r="H18"/>
  <c r="H16"/>
  <c r="H9"/>
  <c r="F10" i="1"/>
  <c r="H18"/>
  <c r="H19"/>
  <c r="H20"/>
  <c r="H17"/>
  <c r="F18"/>
  <c r="F19"/>
  <c r="F20"/>
  <c r="F17"/>
</calcChain>
</file>

<file path=xl/sharedStrings.xml><?xml version="1.0" encoding="utf-8"?>
<sst xmlns="http://schemas.openxmlformats.org/spreadsheetml/2006/main" count="50" uniqueCount="40">
  <si>
    <t>Виды ресурсов</t>
  </si>
  <si>
    <r>
      <t xml:space="preserve">Расходы ресурсов на 1 продукции, </t>
    </r>
    <r>
      <rPr>
        <i/>
        <sz val="12"/>
        <color theme="1"/>
        <rFont val="Times New Roman"/>
        <family val="1"/>
        <charset val="204"/>
      </rPr>
      <t>a</t>
    </r>
    <r>
      <rPr>
        <i/>
        <vertAlign val="subscript"/>
        <sz val="12"/>
        <color theme="1"/>
        <rFont val="Times New Roman"/>
        <family val="1"/>
        <charset val="204"/>
      </rPr>
      <t>ik</t>
    </r>
  </si>
  <si>
    <r>
      <t xml:space="preserve">Запас ресурсов, </t>
    </r>
    <r>
      <rPr>
        <i/>
        <sz val="12"/>
        <color theme="1"/>
        <rFont val="Times New Roman"/>
        <family val="1"/>
        <charset val="204"/>
      </rPr>
      <t>b</t>
    </r>
    <r>
      <rPr>
        <i/>
        <vertAlign val="subscript"/>
        <sz val="12"/>
        <color theme="1"/>
        <rFont val="Times New Roman"/>
        <family val="1"/>
        <charset val="204"/>
      </rPr>
      <t>i</t>
    </r>
  </si>
  <si>
    <t>Вид 1</t>
  </si>
  <si>
    <t>Вид 2</t>
  </si>
  <si>
    <r>
      <t>S</t>
    </r>
    <r>
      <rPr>
        <vertAlign val="subscript"/>
        <sz val="12"/>
        <color theme="1"/>
        <rFont val="Times New Roman"/>
        <family val="1"/>
        <charset val="204"/>
      </rPr>
      <t>1</t>
    </r>
  </si>
  <si>
    <r>
      <t>S</t>
    </r>
    <r>
      <rPr>
        <vertAlign val="subscript"/>
        <sz val="12"/>
        <color theme="1"/>
        <rFont val="Times New Roman"/>
        <family val="1"/>
        <charset val="204"/>
      </rPr>
      <t>2</t>
    </r>
  </si>
  <si>
    <r>
      <t>S</t>
    </r>
    <r>
      <rPr>
        <vertAlign val="subscript"/>
        <sz val="12"/>
        <color theme="1"/>
        <rFont val="Times New Roman"/>
        <family val="1"/>
        <charset val="204"/>
      </rPr>
      <t>3</t>
    </r>
  </si>
  <si>
    <r>
      <t>S</t>
    </r>
    <r>
      <rPr>
        <vertAlign val="subscript"/>
        <sz val="12"/>
        <color theme="1"/>
        <rFont val="Times New Roman"/>
        <family val="1"/>
        <charset val="204"/>
      </rPr>
      <t>4</t>
    </r>
  </si>
  <si>
    <t>Доход от реализации, усл.ден.ед.</t>
  </si>
  <si>
    <t>max</t>
  </si>
  <si>
    <t>целевая функция</t>
  </si>
  <si>
    <t>Параметры оптимизации</t>
  </si>
  <si>
    <t>x1</t>
  </si>
  <si>
    <t>x2</t>
  </si>
  <si>
    <t>ограничения</t>
  </si>
  <si>
    <t>ограничение</t>
  </si>
  <si>
    <t>&lt;=</t>
  </si>
  <si>
    <t>Вид ресурсов</t>
  </si>
  <si>
    <t>Кол-во ед. вещества, содержащегося в 1 кг корма каждого вида</t>
  </si>
  <si>
    <r>
      <t xml:space="preserve">Состав рациона не менее, </t>
    </r>
    <r>
      <rPr>
        <i/>
        <sz val="12"/>
        <color theme="1"/>
        <rFont val="Times New Roman"/>
        <family val="1"/>
        <charset val="204"/>
      </rPr>
      <t>b</t>
    </r>
    <r>
      <rPr>
        <i/>
        <vertAlign val="subscript"/>
        <sz val="12"/>
        <color theme="1"/>
        <rFont val="Times New Roman"/>
        <family val="1"/>
        <charset val="204"/>
      </rPr>
      <t>j</t>
    </r>
  </si>
  <si>
    <t>A</t>
  </si>
  <si>
    <t>B</t>
  </si>
  <si>
    <t>C</t>
  </si>
  <si>
    <t>Цена 1 кг корма (руб.)</t>
  </si>
  <si>
    <t>min</t>
  </si>
  <si>
    <t>параметры оптимизации</t>
  </si>
  <si>
    <t>x3</t>
  </si>
  <si>
    <t>x4</t>
  </si>
  <si>
    <t>&gt;=</t>
  </si>
  <si>
    <t>Поставщики</t>
  </si>
  <si>
    <t>Потребители</t>
  </si>
  <si>
    <r>
      <t xml:space="preserve">Запасы </t>
    </r>
    <r>
      <rPr>
        <b/>
        <i/>
        <sz val="12"/>
        <color theme="1"/>
        <rFont val="Times New Roman"/>
        <family val="1"/>
        <charset val="204"/>
      </rPr>
      <t>a</t>
    </r>
    <r>
      <rPr>
        <b/>
        <i/>
        <vertAlign val="subscript"/>
        <sz val="12"/>
        <color theme="1"/>
        <rFont val="Times New Roman"/>
        <family val="1"/>
        <charset val="204"/>
      </rPr>
      <t>i</t>
    </r>
  </si>
  <si>
    <r>
      <t>B</t>
    </r>
    <r>
      <rPr>
        <vertAlign val="subscript"/>
        <sz val="12"/>
        <color theme="1"/>
        <rFont val="Times New Roman"/>
        <family val="1"/>
        <charset val="204"/>
      </rPr>
      <t>1</t>
    </r>
  </si>
  <si>
    <r>
      <t>B</t>
    </r>
    <r>
      <rPr>
        <vertAlign val="subscript"/>
        <sz val="12"/>
        <color theme="1"/>
        <rFont val="Times New Roman"/>
        <family val="1"/>
        <charset val="204"/>
      </rPr>
      <t>2</t>
    </r>
  </si>
  <si>
    <r>
      <t>B</t>
    </r>
    <r>
      <rPr>
        <vertAlign val="subscript"/>
        <sz val="12"/>
        <color theme="1"/>
        <rFont val="Times New Roman"/>
        <family val="1"/>
        <charset val="204"/>
      </rPr>
      <t>3</t>
    </r>
  </si>
  <si>
    <r>
      <t>A</t>
    </r>
    <r>
      <rPr>
        <vertAlign val="subscript"/>
        <sz val="12"/>
        <color theme="1"/>
        <rFont val="Times New Roman"/>
        <family val="1"/>
        <charset val="204"/>
      </rPr>
      <t>1</t>
    </r>
  </si>
  <si>
    <r>
      <t>A</t>
    </r>
    <r>
      <rPr>
        <vertAlign val="subscript"/>
        <sz val="12"/>
        <color theme="1"/>
        <rFont val="Times New Roman"/>
        <family val="1"/>
        <charset val="204"/>
      </rPr>
      <t>2</t>
    </r>
  </si>
  <si>
    <r>
      <t>A</t>
    </r>
    <r>
      <rPr>
        <vertAlign val="subscript"/>
        <sz val="12"/>
        <color theme="1"/>
        <rFont val="Times New Roman"/>
        <family val="1"/>
        <charset val="204"/>
      </rPr>
      <t>3</t>
    </r>
  </si>
  <si>
    <r>
      <t xml:space="preserve">Заявки </t>
    </r>
    <r>
      <rPr>
        <b/>
        <i/>
        <sz val="12"/>
        <color theme="1"/>
        <rFont val="Times New Roman"/>
        <family val="1"/>
        <charset val="204"/>
      </rPr>
      <t>b</t>
    </r>
    <r>
      <rPr>
        <b/>
        <i/>
        <vertAlign val="subscript"/>
        <sz val="12"/>
        <color theme="1"/>
        <rFont val="Times New Roman"/>
        <family val="1"/>
        <charset val="204"/>
      </rPr>
      <t>j</t>
    </r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</si>
</sst>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i/>
      <vertAlign val="subscript"/>
      <sz val="12"/>
      <color theme="1"/>
      <name val="Times New Roman"/>
      <family val="1"/>
      <charset val="204"/>
    </font>
    <font>
      <vertAlign val="subscript"/>
      <sz val="12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i/>
      <vertAlign val="subscript"/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6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/>
    </xf>
    <xf numFmtId="0" fontId="5" fillId="2" borderId="8" xfId="0" applyFont="1" applyFill="1" applyBorder="1"/>
    <xf numFmtId="0" fontId="5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6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workbookViewId="0">
      <selection activeCell="D17" sqref="D17"/>
    </sheetView>
  </sheetViews>
  <sheetFormatPr defaultRowHeight="15"/>
  <cols>
    <col min="1" max="1" width="11.85546875" customWidth="1"/>
    <col min="6" max="6" width="12.42578125" bestFit="1" customWidth="1"/>
    <col min="7" max="7" width="12.7109375" bestFit="1" customWidth="1"/>
  </cols>
  <sheetData>
    <row r="1" spans="1:7" ht="50.25" customHeight="1" thickBot="1">
      <c r="A1" s="4" t="s">
        <v>0</v>
      </c>
      <c r="B1" s="7" t="s">
        <v>1</v>
      </c>
      <c r="C1" s="8"/>
      <c r="D1" s="4" t="s">
        <v>2</v>
      </c>
    </row>
    <row r="2" spans="1:7" ht="16.5" thickBot="1">
      <c r="A2" s="5"/>
      <c r="B2" s="1" t="s">
        <v>3</v>
      </c>
      <c r="C2" s="1" t="s">
        <v>4</v>
      </c>
      <c r="D2" s="5"/>
    </row>
    <row r="3" spans="1:7" ht="19.5" thickBot="1">
      <c r="A3" s="2" t="s">
        <v>5</v>
      </c>
      <c r="B3" s="1">
        <v>2</v>
      </c>
      <c r="C3" s="1">
        <v>3</v>
      </c>
      <c r="D3" s="1">
        <v>19</v>
      </c>
    </row>
    <row r="4" spans="1:7" ht="19.5" thickBot="1">
      <c r="A4" s="2" t="s">
        <v>6</v>
      </c>
      <c r="B4" s="1">
        <v>2</v>
      </c>
      <c r="C4" s="1">
        <v>1</v>
      </c>
      <c r="D4" s="1">
        <v>13</v>
      </c>
    </row>
    <row r="5" spans="1:7" ht="19.5" thickBot="1">
      <c r="A5" s="2" t="s">
        <v>7</v>
      </c>
      <c r="B5" s="1">
        <v>0</v>
      </c>
      <c r="C5" s="1">
        <v>3</v>
      </c>
      <c r="D5" s="1">
        <v>15</v>
      </c>
    </row>
    <row r="6" spans="1:7" ht="19.5" thickBot="1">
      <c r="A6" s="2" t="s">
        <v>8</v>
      </c>
      <c r="B6" s="1">
        <v>3</v>
      </c>
      <c r="C6" s="1">
        <v>0</v>
      </c>
      <c r="D6" s="1">
        <v>18</v>
      </c>
    </row>
    <row r="7" spans="1:7" ht="63.75" thickBot="1">
      <c r="A7" s="3" t="s">
        <v>9</v>
      </c>
      <c r="B7" s="1">
        <v>7</v>
      </c>
      <c r="C7" s="1">
        <v>5</v>
      </c>
      <c r="D7" s="1" t="s">
        <v>10</v>
      </c>
    </row>
    <row r="9" spans="1:7" ht="30">
      <c r="A9" s="10"/>
      <c r="F9" s="11" t="s">
        <v>11</v>
      </c>
    </row>
    <row r="10" spans="1:7">
      <c r="F10">
        <f>B7*F14+C7*G14</f>
        <v>49.999999999999993</v>
      </c>
    </row>
    <row r="12" spans="1:7" ht="45" customHeight="1">
      <c r="A12" s="10"/>
      <c r="F12" s="14" t="s">
        <v>12</v>
      </c>
      <c r="G12" s="14"/>
    </row>
    <row r="13" spans="1:7" ht="18.75">
      <c r="F13" s="12" t="s">
        <v>13</v>
      </c>
      <c r="G13" s="12" t="s">
        <v>14</v>
      </c>
    </row>
    <row r="14" spans="1:7" ht="18.75">
      <c r="A14" s="10"/>
      <c r="F14" s="13">
        <v>4.9999999999999991</v>
      </c>
      <c r="G14" s="13">
        <v>3.0000000000000004</v>
      </c>
    </row>
    <row r="16" spans="1:7">
      <c r="F16" t="s">
        <v>16</v>
      </c>
    </row>
    <row r="17" spans="1:8" ht="15.75">
      <c r="A17" s="10"/>
      <c r="F17">
        <f>$F$14*B3+C3*$G$14</f>
        <v>19</v>
      </c>
      <c r="G17" s="15" t="s">
        <v>17</v>
      </c>
      <c r="H17">
        <f>D3</f>
        <v>19</v>
      </c>
    </row>
    <row r="18" spans="1:8">
      <c r="F18">
        <f t="shared" ref="F18:F20" si="0">$F$14*B4+C4*$G$14</f>
        <v>12.999999999999998</v>
      </c>
      <c r="G18" s="15" t="s">
        <v>17</v>
      </c>
      <c r="H18">
        <f t="shared" ref="H18:H20" si="1">D4</f>
        <v>13</v>
      </c>
    </row>
    <row r="19" spans="1:8">
      <c r="F19">
        <f t="shared" si="0"/>
        <v>9.0000000000000018</v>
      </c>
      <c r="G19" s="15" t="s">
        <v>17</v>
      </c>
      <c r="H19">
        <f t="shared" si="1"/>
        <v>15</v>
      </c>
    </row>
    <row r="20" spans="1:8">
      <c r="F20">
        <f t="shared" si="0"/>
        <v>14.999999999999996</v>
      </c>
      <c r="G20" s="15" t="s">
        <v>17</v>
      </c>
      <c r="H20">
        <f t="shared" si="1"/>
        <v>18</v>
      </c>
    </row>
  </sheetData>
  <mergeCells count="4">
    <mergeCell ref="A1:A2"/>
    <mergeCell ref="B1:C1"/>
    <mergeCell ref="D1:D2"/>
    <mergeCell ref="F12:G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8"/>
  <sheetViews>
    <sheetView workbookViewId="0">
      <selection activeCell="C14" sqref="C14"/>
    </sheetView>
  </sheetViews>
  <sheetFormatPr defaultRowHeight="15"/>
  <cols>
    <col min="1" max="1" width="10.7109375" customWidth="1"/>
    <col min="8" max="8" width="16.85546875" bestFit="1" customWidth="1"/>
  </cols>
  <sheetData>
    <row r="1" spans="1:11" ht="65.25" customHeight="1" thickBot="1">
      <c r="A1" s="20" t="s">
        <v>18</v>
      </c>
      <c r="B1" s="17" t="s">
        <v>19</v>
      </c>
      <c r="C1" s="18"/>
      <c r="D1" s="18"/>
      <c r="E1" s="19"/>
      <c r="F1" s="9" t="s">
        <v>20</v>
      </c>
    </row>
    <row r="2" spans="1:11" ht="16.5" thickBot="1">
      <c r="A2" s="21"/>
      <c r="B2" s="1">
        <v>1</v>
      </c>
      <c r="C2" s="1">
        <v>2</v>
      </c>
      <c r="D2" s="1">
        <v>3</v>
      </c>
      <c r="E2" s="1">
        <v>4</v>
      </c>
      <c r="F2" s="16"/>
    </row>
    <row r="3" spans="1:11" ht="16.5" thickBot="1">
      <c r="A3" s="2" t="s">
        <v>21</v>
      </c>
      <c r="B3" s="1">
        <v>4</v>
      </c>
      <c r="C3" s="1">
        <v>1</v>
      </c>
      <c r="D3" s="1">
        <v>6</v>
      </c>
      <c r="E3" s="1">
        <v>3</v>
      </c>
      <c r="F3" s="1">
        <v>200</v>
      </c>
    </row>
    <row r="4" spans="1:11" ht="16.5" thickBot="1">
      <c r="A4" s="2" t="s">
        <v>22</v>
      </c>
      <c r="B4" s="1">
        <v>5</v>
      </c>
      <c r="C4" s="1">
        <v>8</v>
      </c>
      <c r="D4" s="1">
        <v>5</v>
      </c>
      <c r="E4" s="1">
        <v>4</v>
      </c>
      <c r="F4" s="1">
        <v>350</v>
      </c>
    </row>
    <row r="5" spans="1:11" ht="16.5" thickBot="1">
      <c r="A5" s="2" t="s">
        <v>23</v>
      </c>
      <c r="B5" s="1">
        <v>2</v>
      </c>
      <c r="C5" s="1">
        <v>6</v>
      </c>
      <c r="D5" s="1">
        <v>5</v>
      </c>
      <c r="E5" s="1">
        <v>4</v>
      </c>
      <c r="F5" s="1">
        <v>220</v>
      </c>
    </row>
    <row r="6" spans="1:11" ht="48" thickBot="1">
      <c r="A6" s="3" t="s">
        <v>24</v>
      </c>
      <c r="B6" s="1">
        <v>3</v>
      </c>
      <c r="C6" s="1">
        <v>6</v>
      </c>
      <c r="D6" s="1">
        <v>6</v>
      </c>
      <c r="E6" s="1">
        <v>5</v>
      </c>
      <c r="F6" s="1" t="s">
        <v>25</v>
      </c>
    </row>
    <row r="8" spans="1:11">
      <c r="H8" t="s">
        <v>11</v>
      </c>
    </row>
    <row r="9" spans="1:11">
      <c r="H9">
        <f>B6*H13+C6*I13+D6*J13+E6*K13</f>
        <v>110</v>
      </c>
    </row>
    <row r="11" spans="1:11">
      <c r="H11" s="22" t="s">
        <v>26</v>
      </c>
      <c r="I11" s="22"/>
      <c r="J11" s="22"/>
      <c r="K11" s="22"/>
    </row>
    <row r="12" spans="1:11">
      <c r="H12" t="s">
        <v>13</v>
      </c>
      <c r="I12" t="s">
        <v>14</v>
      </c>
      <c r="J12" t="s">
        <v>27</v>
      </c>
      <c r="K12" t="s">
        <v>28</v>
      </c>
    </row>
    <row r="13" spans="1:11">
      <c r="H13">
        <v>0</v>
      </c>
      <c r="I13">
        <v>0</v>
      </c>
      <c r="J13">
        <v>0</v>
      </c>
      <c r="K13">
        <v>22</v>
      </c>
    </row>
    <row r="15" spans="1:11">
      <c r="H15" s="22" t="s">
        <v>15</v>
      </c>
      <c r="I15" s="22"/>
      <c r="J15" s="22"/>
    </row>
    <row r="16" spans="1:11">
      <c r="H16">
        <f>B3*$H$13+C3*$I$13*$C$2+D3*$J$13*$D$2+E3*$K$13*$E$2</f>
        <v>264</v>
      </c>
      <c r="I16" s="23" t="s">
        <v>29</v>
      </c>
      <c r="J16">
        <f>F3</f>
        <v>200</v>
      </c>
    </row>
    <row r="17" spans="8:10">
      <c r="H17">
        <f t="shared" ref="H17:H18" si="0">B4*$H$13+C4*$I$13*$C$2+D4*$J$13*$D$2+E4*$K$13*$E$2</f>
        <v>352</v>
      </c>
      <c r="I17" s="23" t="s">
        <v>29</v>
      </c>
      <c r="J17">
        <f t="shared" ref="J17:J18" si="1">F4</f>
        <v>350</v>
      </c>
    </row>
    <row r="18" spans="8:10">
      <c r="H18">
        <f t="shared" si="0"/>
        <v>352</v>
      </c>
      <c r="I18" s="23" t="s">
        <v>29</v>
      </c>
      <c r="J18">
        <f t="shared" si="1"/>
        <v>220</v>
      </c>
    </row>
  </sheetData>
  <mergeCells count="5">
    <mergeCell ref="A1:A2"/>
    <mergeCell ref="B1:E1"/>
    <mergeCell ref="F1:F2"/>
    <mergeCell ref="H11:K11"/>
    <mergeCell ref="H15:J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>
      <selection activeCell="E15" sqref="E15"/>
    </sheetView>
  </sheetViews>
  <sheetFormatPr defaultRowHeight="15"/>
  <cols>
    <col min="7" max="7" width="16.85546875" bestFit="1" customWidth="1"/>
  </cols>
  <sheetData>
    <row r="1" spans="1:9" ht="16.5" thickBot="1">
      <c r="A1" s="4" t="s">
        <v>30</v>
      </c>
      <c r="B1" s="7" t="s">
        <v>31</v>
      </c>
      <c r="C1" s="6"/>
      <c r="D1" s="8"/>
      <c r="E1" s="4" t="s">
        <v>32</v>
      </c>
    </row>
    <row r="2" spans="1:9" ht="19.5" thickBot="1">
      <c r="A2" s="5"/>
      <c r="B2" s="24" t="s">
        <v>33</v>
      </c>
      <c r="C2" s="24" t="s">
        <v>34</v>
      </c>
      <c r="D2" s="24" t="s">
        <v>35</v>
      </c>
      <c r="E2" s="5"/>
    </row>
    <row r="3" spans="1:9" ht="19.5" thickBot="1">
      <c r="A3" s="2" t="s">
        <v>36</v>
      </c>
      <c r="B3" s="1">
        <v>5</v>
      </c>
      <c r="C3" s="1">
        <v>2</v>
      </c>
      <c r="D3" s="1">
        <v>2</v>
      </c>
      <c r="E3" s="1">
        <v>180</v>
      </c>
    </row>
    <row r="4" spans="1:9" ht="19.5" thickBot="1">
      <c r="A4" s="2" t="s">
        <v>37</v>
      </c>
      <c r="B4" s="1">
        <v>1</v>
      </c>
      <c r="C4" s="1">
        <v>4</v>
      </c>
      <c r="D4" s="1">
        <v>5</v>
      </c>
      <c r="E4" s="1">
        <v>300</v>
      </c>
    </row>
    <row r="5" spans="1:9" ht="19.5" thickBot="1">
      <c r="A5" s="2" t="s">
        <v>38</v>
      </c>
      <c r="B5" s="1">
        <v>6</v>
      </c>
      <c r="C5" s="1">
        <v>3</v>
      </c>
      <c r="D5" s="1">
        <v>8</v>
      </c>
      <c r="E5" s="1">
        <v>120</v>
      </c>
    </row>
    <row r="6" spans="1:9" ht="35.25" thickBot="1">
      <c r="A6" s="3" t="s">
        <v>39</v>
      </c>
      <c r="B6" s="1">
        <v>110</v>
      </c>
      <c r="C6" s="1">
        <v>350</v>
      </c>
      <c r="D6" s="1">
        <v>140</v>
      </c>
      <c r="E6" s="1"/>
    </row>
    <row r="8" spans="1:9">
      <c r="G8" t="s">
        <v>11</v>
      </c>
    </row>
    <row r="11" spans="1:9">
      <c r="G11" s="22" t="s">
        <v>26</v>
      </c>
      <c r="H11" s="22"/>
      <c r="I11" s="22"/>
    </row>
  </sheetData>
  <mergeCells count="4">
    <mergeCell ref="A1:A2"/>
    <mergeCell ref="B1:D1"/>
    <mergeCell ref="E1:E2"/>
    <mergeCell ref="G11:I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Задача 1</vt:lpstr>
      <vt:lpstr>Задача 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2024-03-26T06:33:40Z</dcterms:created>
  <dcterms:modified xsi:type="dcterms:W3CDTF">2024-03-26T07:58:09Z</dcterms:modified>
</cp:coreProperties>
</file>