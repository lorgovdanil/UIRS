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go\Desktop\LP\УИР\2 семестр\4 лаба\"/>
    </mc:Choice>
  </mc:AlternateContent>
  <xr:revisionPtr revIDLastSave="0" documentId="13_ncr:1_{BBD7BBC8-09C4-4598-A4A4-54F9A6808F44}" xr6:coauthVersionLast="37" xr6:coauthVersionMax="37" xr10:uidLastSave="{00000000-0000-0000-0000-000000000000}"/>
  <bookViews>
    <workbookView xWindow="0" yWindow="96" windowWidth="28752" windowHeight="12588" firstSheet="1" activeTab="3" xr2:uid="{00000000-000D-0000-FFFF-FFFF00000000}"/>
  </bookViews>
  <sheets>
    <sheet name="Титульный лист" sheetId="4" r:id="rId1"/>
    <sheet name="Задача 1" sheetId="1" r:id="rId2"/>
    <sheet name="Задача 2" sheetId="2" r:id="rId3"/>
    <sheet name="Задача 3" sheetId="3" r:id="rId4"/>
  </sheets>
  <definedNames>
    <definedName name="solver_adj" localSheetId="1" hidden="1">'Задача 1'!$F$25:$G$25</definedName>
    <definedName name="solver_adj" localSheetId="2" hidden="1">'Задача 2'!$H$13:$K$13</definedName>
    <definedName name="solver_adj" localSheetId="3" hidden="1">'Задача 3'!$H$3:$J$5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1" hidden="1">1</definedName>
    <definedName name="solver_eng" localSheetId="3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1" hidden="1">100</definedName>
    <definedName name="solver_itr" localSheetId="2" hidden="1">100</definedName>
    <definedName name="solver_itr" localSheetId="3" hidden="1">2147483647</definedName>
    <definedName name="solver_lhs1" localSheetId="1" hidden="1">'Задача 1'!$F$28:$F$31</definedName>
    <definedName name="solver_lhs1" localSheetId="2" hidden="1">'Задача 2'!$H$16:$H$18</definedName>
    <definedName name="solver_lhs1" localSheetId="3" hidden="1">'Задача 3'!$G$12:$G$20</definedName>
    <definedName name="solver_lhs2" localSheetId="1" hidden="1">'Задача 1'!$F$14:$G$14</definedName>
    <definedName name="solver_lhs2" localSheetId="2" hidden="1">'Задача 2'!$H$13:$K$13</definedName>
    <definedName name="solver_lhs2" localSheetId="3" hidden="1">'Задача 3'!$H$3:$J$5</definedName>
    <definedName name="solver_lhs3" localSheetId="1" hidden="1">'Задача 1'!$F$19:$F$20</definedName>
    <definedName name="solver_lhs3" localSheetId="2" hidden="1">'Задача 2'!$H$13:$K$13</definedName>
    <definedName name="solver_lin" localSheetId="1" hidden="1">2</definedName>
    <definedName name="solver_lin" localSheetId="2" hidden="1">2</definedName>
    <definedName name="solver_mip" localSheetId="1" hidden="1">2147483647</definedName>
    <definedName name="solver_mip" localSheetId="3" hidden="1">2147483647</definedName>
    <definedName name="solver_mni" localSheetId="1" hidden="1">30</definedName>
    <definedName name="solver_mni" localSheetId="3" hidden="1">30</definedName>
    <definedName name="solver_mrt" localSheetId="1" hidden="1">0.075</definedName>
    <definedName name="solver_mrt" localSheetId="3" hidden="1">0.075</definedName>
    <definedName name="solver_msl" localSheetId="1" hidden="1">2</definedName>
    <definedName name="solver_msl" localSheetId="3" hidden="1">2</definedName>
    <definedName name="solver_neg" localSheetId="1" hidden="1">2</definedName>
    <definedName name="solver_neg" localSheetId="2" hidden="1">2</definedName>
    <definedName name="solver_neg" localSheetId="3" hidden="1">1</definedName>
    <definedName name="solver_nod" localSheetId="1" hidden="1">2147483647</definedName>
    <definedName name="solver_nod" localSheetId="3" hidden="1">2147483647</definedName>
    <definedName name="solver_num" localSheetId="1" hidden="1">1</definedName>
    <definedName name="solver_num" localSheetId="2" hidden="1">3</definedName>
    <definedName name="solver_num" localSheetId="3" hidden="1">2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1" hidden="1">'Задача 1'!$F$21</definedName>
    <definedName name="solver_opt" localSheetId="2" hidden="1">'Задача 2'!$H$9</definedName>
    <definedName name="solver_opt" localSheetId="3" hidden="1">'Задача 3'!$G$9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1" hidden="1">1</definedName>
    <definedName name="solver_rbv" localSheetId="3" hidden="1">1</definedName>
    <definedName name="solver_rel1" localSheetId="1" hidden="1">1</definedName>
    <definedName name="solver_rel1" localSheetId="2" hidden="1">3</definedName>
    <definedName name="solver_rel1" localSheetId="3" hidden="1">2</definedName>
    <definedName name="solver_rel2" localSheetId="1" hidden="1">4</definedName>
    <definedName name="solver_rel2" localSheetId="2" hidden="1">4</definedName>
    <definedName name="solver_rel2" localSheetId="3" hidden="1">3</definedName>
    <definedName name="solver_rel3" localSheetId="1" hidden="1">1</definedName>
    <definedName name="solver_rel3" localSheetId="2" hidden="1">3</definedName>
    <definedName name="solver_rhs1" localSheetId="1" hidden="1">'Задача 1'!$H$28:$H$31</definedName>
    <definedName name="solver_rhs1" localSheetId="2" hidden="1">'Задача 2'!$J$16:$J$18</definedName>
    <definedName name="solver_rhs1" localSheetId="3" hidden="1">'Задача 3'!$I$12:$I$20</definedName>
    <definedName name="solver_rhs2" localSheetId="1" hidden="1">целое</definedName>
    <definedName name="solver_rhs2" localSheetId="2" hidden="1">целое</definedName>
    <definedName name="solver_rhs2" localSheetId="3" hidden="1">0</definedName>
    <definedName name="solver_rhs3" localSheetId="1" hidden="1">'Задача 1'!$H$19:$H$20</definedName>
    <definedName name="solver_rhs3" localSheetId="2" hidden="1">0</definedName>
    <definedName name="solver_rlx" localSheetId="1" hidden="1">1</definedName>
    <definedName name="solver_rlx" localSheetId="3" hidden="1">2</definedName>
    <definedName name="solver_rsd" localSheetId="1" hidden="1">0</definedName>
    <definedName name="solver_rsd" localSheetId="3" hidden="1">0</definedName>
    <definedName name="solver_scl" localSheetId="1" hidden="1">2</definedName>
    <definedName name="solver_scl" localSheetId="2" hidden="1">2</definedName>
    <definedName name="solver_scl" localSheetId="3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1" hidden="1">100</definedName>
    <definedName name="solver_ssz" localSheetId="3" hidden="1">100</definedName>
    <definedName name="solver_tim" localSheetId="1" hidden="1">100</definedName>
    <definedName name="solver_tim" localSheetId="2" hidden="1">100</definedName>
    <definedName name="solver_tim" localSheetId="3" hidden="1">2147483647</definedName>
    <definedName name="solver_tol" localSheetId="1" hidden="1">0.05</definedName>
    <definedName name="solver_tol" localSheetId="2" hidden="1">0.05</definedName>
    <definedName name="solver_tol" localSheetId="3" hidden="1">0.01</definedName>
    <definedName name="solver_typ" localSheetId="1" hidden="1">1</definedName>
    <definedName name="solver_typ" localSheetId="2" hidden="1">2</definedName>
    <definedName name="solver_typ" localSheetId="3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1" hidden="1">3</definedName>
    <definedName name="solver_ver" localSheetId="3" hidden="1">3</definedName>
  </definedNames>
  <calcPr calcId="179021"/>
</workbook>
</file>

<file path=xl/calcChain.xml><?xml version="1.0" encoding="utf-8"?>
<calcChain xmlns="http://schemas.openxmlformats.org/spreadsheetml/2006/main">
  <c r="F28" i="1" l="1"/>
  <c r="F29" i="1"/>
  <c r="F30" i="1"/>
  <c r="F31" i="1"/>
  <c r="F21" i="1"/>
  <c r="H28" i="1"/>
  <c r="H29" i="1"/>
  <c r="H30" i="1"/>
  <c r="H31" i="1"/>
  <c r="K4" i="3" l="1"/>
  <c r="I13" i="3" s="1"/>
  <c r="K5" i="3"/>
  <c r="I14" i="3" s="1"/>
  <c r="K3" i="3"/>
  <c r="I12" i="3" s="1"/>
  <c r="I15" i="3"/>
  <c r="I16" i="3"/>
  <c r="I17" i="3"/>
  <c r="G19" i="3"/>
  <c r="G20" i="3"/>
  <c r="G18" i="3"/>
  <c r="G15" i="3"/>
  <c r="G13" i="3"/>
  <c r="G14" i="3"/>
  <c r="G12" i="3"/>
  <c r="G9" i="3"/>
  <c r="I6" i="3"/>
  <c r="G16" i="3" s="1"/>
  <c r="J6" i="3"/>
  <c r="G17" i="3" s="1"/>
  <c r="H6" i="3"/>
  <c r="I20" i="3" l="1"/>
  <c r="I19" i="3"/>
  <c r="I18" i="3"/>
  <c r="J17" i="2"/>
  <c r="J18" i="2"/>
  <c r="J16" i="2"/>
  <c r="H17" i="2"/>
  <c r="H18" i="2"/>
  <c r="H16" i="2"/>
  <c r="H9" i="2"/>
</calcChain>
</file>

<file path=xl/sharedStrings.xml><?xml version="1.0" encoding="utf-8"?>
<sst xmlns="http://schemas.openxmlformats.org/spreadsheetml/2006/main" count="73" uniqueCount="44">
  <si>
    <t>Виды ресурсов</t>
  </si>
  <si>
    <r>
      <t xml:space="preserve">Расходы ресурсов на 1 продукции, </t>
    </r>
    <r>
      <rPr>
        <i/>
        <sz val="12"/>
        <color theme="1"/>
        <rFont val="Times New Roman"/>
        <family val="1"/>
        <charset val="204"/>
      </rPr>
      <t>a</t>
    </r>
    <r>
      <rPr>
        <i/>
        <vertAlign val="subscript"/>
        <sz val="12"/>
        <color theme="1"/>
        <rFont val="Times New Roman"/>
        <family val="1"/>
        <charset val="204"/>
      </rPr>
      <t>ik</t>
    </r>
  </si>
  <si>
    <r>
      <t xml:space="preserve">Запас ресурсов, </t>
    </r>
    <r>
      <rPr>
        <i/>
        <sz val="12"/>
        <color theme="1"/>
        <rFont val="Times New Roman"/>
        <family val="1"/>
        <charset val="204"/>
      </rPr>
      <t>b</t>
    </r>
    <r>
      <rPr>
        <i/>
        <vertAlign val="subscript"/>
        <sz val="12"/>
        <color theme="1"/>
        <rFont val="Times New Roman"/>
        <family val="1"/>
        <charset val="204"/>
      </rPr>
      <t>i</t>
    </r>
  </si>
  <si>
    <t>Вид 1</t>
  </si>
  <si>
    <t>Вид 2</t>
  </si>
  <si>
    <r>
      <t>S</t>
    </r>
    <r>
      <rPr>
        <vertAlign val="subscript"/>
        <sz val="12"/>
        <color theme="1"/>
        <rFont val="Times New Roman"/>
        <family val="1"/>
        <charset val="204"/>
      </rPr>
      <t>1</t>
    </r>
  </si>
  <si>
    <r>
      <t>S</t>
    </r>
    <r>
      <rPr>
        <vertAlign val="subscript"/>
        <sz val="12"/>
        <color theme="1"/>
        <rFont val="Times New Roman"/>
        <family val="1"/>
        <charset val="204"/>
      </rPr>
      <t>2</t>
    </r>
  </si>
  <si>
    <r>
      <t>S</t>
    </r>
    <r>
      <rPr>
        <vertAlign val="subscript"/>
        <sz val="12"/>
        <color theme="1"/>
        <rFont val="Times New Roman"/>
        <family val="1"/>
        <charset val="204"/>
      </rPr>
      <t>3</t>
    </r>
  </si>
  <si>
    <r>
      <t>S</t>
    </r>
    <r>
      <rPr>
        <vertAlign val="subscript"/>
        <sz val="12"/>
        <color theme="1"/>
        <rFont val="Times New Roman"/>
        <family val="1"/>
        <charset val="204"/>
      </rPr>
      <t>4</t>
    </r>
  </si>
  <si>
    <t>Доход от реализации, усл.ден.ед.</t>
  </si>
  <si>
    <t>max</t>
  </si>
  <si>
    <t>целевая функция</t>
  </si>
  <si>
    <t>Параметры оптимизации</t>
  </si>
  <si>
    <t>x1</t>
  </si>
  <si>
    <t>x2</t>
  </si>
  <si>
    <t>ограничения</t>
  </si>
  <si>
    <t>ограничение</t>
  </si>
  <si>
    <t>&lt;=</t>
  </si>
  <si>
    <t>Вид ресурсов</t>
  </si>
  <si>
    <t>Кол-во ед. вещества, содержащегося в 1 кг корма каждого вида</t>
  </si>
  <si>
    <r>
      <t xml:space="preserve">Состав рациона не менее, </t>
    </r>
    <r>
      <rPr>
        <i/>
        <sz val="12"/>
        <color theme="1"/>
        <rFont val="Times New Roman"/>
        <family val="1"/>
        <charset val="204"/>
      </rPr>
      <t>b</t>
    </r>
    <r>
      <rPr>
        <i/>
        <vertAlign val="subscript"/>
        <sz val="12"/>
        <color theme="1"/>
        <rFont val="Times New Roman"/>
        <family val="1"/>
        <charset val="204"/>
      </rPr>
      <t>j</t>
    </r>
  </si>
  <si>
    <t>A</t>
  </si>
  <si>
    <t>B</t>
  </si>
  <si>
    <t>C</t>
  </si>
  <si>
    <t>Цена 1 кг корма (руб.)</t>
  </si>
  <si>
    <t>min</t>
  </si>
  <si>
    <t>параметры оптимизации</t>
  </si>
  <si>
    <t>x3</t>
  </si>
  <si>
    <t>x4</t>
  </si>
  <si>
    <t>&gt;=</t>
  </si>
  <si>
    <t>Поставщики</t>
  </si>
  <si>
    <t>Потребители</t>
  </si>
  <si>
    <r>
      <t xml:space="preserve">Запасы </t>
    </r>
    <r>
      <rPr>
        <b/>
        <i/>
        <sz val="12"/>
        <color theme="1"/>
        <rFont val="Times New Roman"/>
        <family val="1"/>
        <charset val="204"/>
      </rPr>
      <t>a</t>
    </r>
    <r>
      <rPr>
        <b/>
        <i/>
        <vertAlign val="subscript"/>
        <sz val="12"/>
        <color theme="1"/>
        <rFont val="Times New Roman"/>
        <family val="1"/>
        <charset val="204"/>
      </rPr>
      <t>i</t>
    </r>
  </si>
  <si>
    <r>
      <t>B</t>
    </r>
    <r>
      <rPr>
        <vertAlign val="subscript"/>
        <sz val="12"/>
        <color theme="1"/>
        <rFont val="Times New Roman"/>
        <family val="1"/>
        <charset val="204"/>
      </rPr>
      <t>1</t>
    </r>
  </si>
  <si>
    <r>
      <t>B</t>
    </r>
    <r>
      <rPr>
        <vertAlign val="subscript"/>
        <sz val="12"/>
        <color theme="1"/>
        <rFont val="Times New Roman"/>
        <family val="1"/>
        <charset val="204"/>
      </rPr>
      <t>2</t>
    </r>
  </si>
  <si>
    <r>
      <t>B</t>
    </r>
    <r>
      <rPr>
        <vertAlign val="subscript"/>
        <sz val="12"/>
        <color theme="1"/>
        <rFont val="Times New Roman"/>
        <family val="1"/>
        <charset val="204"/>
      </rPr>
      <t>3</t>
    </r>
  </si>
  <si>
    <r>
      <t>A</t>
    </r>
    <r>
      <rPr>
        <vertAlign val="subscript"/>
        <sz val="12"/>
        <color theme="1"/>
        <rFont val="Times New Roman"/>
        <family val="1"/>
        <charset val="204"/>
      </rPr>
      <t>1</t>
    </r>
  </si>
  <si>
    <r>
      <t>A</t>
    </r>
    <r>
      <rPr>
        <vertAlign val="subscript"/>
        <sz val="12"/>
        <color theme="1"/>
        <rFont val="Times New Roman"/>
        <family val="1"/>
        <charset val="204"/>
      </rPr>
      <t>2</t>
    </r>
  </si>
  <si>
    <r>
      <t>A</t>
    </r>
    <r>
      <rPr>
        <vertAlign val="subscript"/>
        <sz val="12"/>
        <color theme="1"/>
        <rFont val="Times New Roman"/>
        <family val="1"/>
        <charset val="204"/>
      </rPr>
      <t>3</t>
    </r>
  </si>
  <si>
    <r>
      <t xml:space="preserve">Заявки </t>
    </r>
    <r>
      <rPr>
        <b/>
        <i/>
        <sz val="12"/>
        <color theme="1"/>
        <rFont val="Times New Roman"/>
        <family val="1"/>
        <charset val="204"/>
      </rPr>
      <t>b</t>
    </r>
    <r>
      <rPr>
        <b/>
        <i/>
        <vertAlign val="subscript"/>
        <sz val="12"/>
        <color theme="1"/>
        <rFont val="Times New Roman"/>
        <family val="1"/>
        <charset val="204"/>
      </rPr>
      <t>j</t>
    </r>
  </si>
  <si>
    <t>=</t>
  </si>
  <si>
    <t>запасы</t>
  </si>
  <si>
    <t>заявки</t>
  </si>
  <si>
    <t>не нули по кол/ву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</si>
</sst>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vertAlign val="subscript"/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vertAlign val="subscript"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6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8" xfId="0" applyFont="1" applyFill="1" applyBorder="1"/>
    <xf numFmtId="0" fontId="1" fillId="0" borderId="6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1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554181</xdr:colOff>
      <xdr:row>0</xdr:row>
      <xdr:rowOff>166253</xdr:rowOff>
    </xdr:from>
    <xdr:to>
      <xdr:col>11</xdr:col>
      <xdr:colOff>457200</xdr:colOff>
      <xdr:row>51</xdr:row>
      <xdr:rowOff>69272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A1C3E2-2256-43D3-9666-F1E1A8C9FF42}"/>
            </a:ext>
          </a:extLst>
        </xdr:cNvPr>
        <xdr:cNvSpPr txBox="1"/>
      </xdr:nvSpPr>
      <xdr:spPr>
        <a:xfrm>
          <a:off x="554181" y="166253"/>
          <a:ext cx="6608619" cy="9088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Министерство науки и высшего образования РФ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ФГАОУ ВО Пермский национальный исследовательский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политехнический университет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Кафедра «Вычислительная математика, механика и биомеханика»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Дисциплина «Учебно-исследовательская работа»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Отчет по лабораторной работе №4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Тема: «</a:t>
          </a:r>
          <a:r>
            <a:rPr lang="en-US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Excel</a:t>
          </a:r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»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Вариант 12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endParaRPr lang="ru-RU" sz="16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Выполнил:</a:t>
          </a:r>
        </a:p>
        <a:p>
          <a:pPr algn="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студент группы ИСТ-23-2б</a:t>
          </a:r>
        </a:p>
        <a:p>
          <a:pPr algn="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Лоргов Д.С.</a:t>
          </a:r>
        </a:p>
        <a:p>
          <a:pPr algn="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Проверила: ассистент каф. ВММБ</a:t>
          </a:r>
        </a:p>
        <a:p>
          <a:pPr algn="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Богданова А.П.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Пермь, 2024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143435</xdr:colOff>
      <xdr:row>0</xdr:row>
      <xdr:rowOff>436071</xdr:rowOff>
    </xdr:from>
    <xdr:to>
      <xdr:col>11</xdr:col>
      <xdr:colOff>582066</xdr:colOff>
      <xdr:row>8</xdr:row>
      <xdr:rowOff>103096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680C3E-9FEC-4DA9-B095-56ED4D13CA4B}"/>
            </a:ext>
          </a:extLst>
        </xdr:cNvPr>
        <xdr:cNvSpPr txBox="1"/>
      </xdr:nvSpPr>
      <xdr:spPr>
        <a:xfrm>
          <a:off x="143435" y="436071"/>
          <a:ext cx="8243688" cy="16046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Задача 1</a:t>
          </a:r>
        </a:p>
        <a:p>
          <a:r>
            <a:rPr lang="ru-RU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Предприятие изготавливает два вида продукции из четырёх видов сырья: 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S1,</a:t>
          </a:r>
          <a:r>
            <a:rPr lang="en-US" sz="14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S2, S3, S4</a:t>
          </a:r>
          <a:r>
            <a:rPr lang="ru-RU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На изготовление первого вида продукции идёт по 2 единицы сырья 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S1 </a:t>
          </a:r>
          <a:r>
            <a:rPr lang="ru-RU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 </a:t>
          </a:r>
          <a:r>
            <a:rPr lang="en-US" sz="14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S2 </a:t>
          </a:r>
          <a:r>
            <a:rPr lang="ru-RU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 3 единицы сырья 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S4</a:t>
          </a:r>
          <a:r>
            <a:rPr lang="ru-RU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На изготовление второго вида продукции идёт по 3 единицы сырья 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S1</a:t>
          </a:r>
          <a:r>
            <a:rPr lang="ru-RU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и 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S3</a:t>
          </a:r>
          <a:r>
            <a:rPr lang="ru-RU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и 1 единица сырья 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S2</a:t>
          </a:r>
          <a:r>
            <a:rPr lang="ru-RU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Месячные запасы каждого из четырёх видов сырья составляют соответственно: 19, 13, 15 и 18 единиц. От реализации продукции первого вида предприятие получает прибыль 7 усл.ден.ед., а второго 5 усл.ден.ед. Требуется составить такой план производства продукции, при котором доход от реализации будет максимальным.</a:t>
          </a:r>
        </a:p>
        <a:p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213360</xdr:colOff>
      <xdr:row>0</xdr:row>
      <xdr:rowOff>243840</xdr:rowOff>
    </xdr:from>
    <xdr:to>
      <xdr:col>18</xdr:col>
      <xdr:colOff>373380</xdr:colOff>
      <xdr:row>5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C897B5-2666-43BC-A56C-E1FF9DBB3588}"/>
            </a:ext>
          </a:extLst>
        </xdr:cNvPr>
        <xdr:cNvSpPr txBox="1"/>
      </xdr:nvSpPr>
      <xdr:spPr>
        <a:xfrm>
          <a:off x="5760720" y="243840"/>
          <a:ext cx="6256020" cy="153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Задача 2</a:t>
          </a:r>
        </a:p>
        <a:p>
          <a:r>
            <a:rPr lang="ru-RU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 четырёх видов кормов необходимо составить рацион, в состав которого должно входить не менее 200 ед. вещества А, 350 ед. вещества В и 220 ед. вещества С. Количество единиц вещества, содержащегося в 1 кг корма каждого вида, указано в таблице. В ней же приведена цена 1 кг корма каждого вида. Составить рацион, содержащий указанных питательных веществ не менее нужного количества и имеющий минимальную стоимость.</a:t>
          </a:r>
        </a:p>
        <a:p>
          <a:endParaRPr lang="ru-RU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143435</xdr:colOff>
      <xdr:row>1</xdr:row>
      <xdr:rowOff>179294</xdr:rowOff>
    </xdr:from>
    <xdr:to>
      <xdr:col>24</xdr:col>
      <xdr:colOff>502024</xdr:colOff>
      <xdr:row>7</xdr:row>
      <xdr:rowOff>35859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555562-04C4-48BF-9B9A-8292A23D59C7}"/>
            </a:ext>
          </a:extLst>
        </xdr:cNvPr>
        <xdr:cNvSpPr txBox="1"/>
      </xdr:nvSpPr>
      <xdr:spPr>
        <a:xfrm>
          <a:off x="8615082" y="385482"/>
          <a:ext cx="7064189" cy="14074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spcBef>
              <a:spcPts val="1200"/>
            </a:spcBef>
            <a:spcAft>
              <a:spcPts val="0"/>
            </a:spcAft>
          </a:pPr>
          <a:r>
            <a:rPr lang="ru-RU" sz="1400" b="1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Задача 3</a:t>
          </a:r>
          <a:endParaRPr lang="ru-RU" sz="1400" b="1">
            <a:effectLst/>
            <a:latin typeface="Arial" panose="020B060402020202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indent="450215" algn="just">
            <a:spcAft>
              <a:spcPts val="0"/>
            </a:spcAft>
          </a:pPr>
          <a:r>
            <a:rPr lang="ru-RU" sz="14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На складах А1, А2,  А3 имеются запасы продукции в количествах 180, 300, 120 т соответственно. Потребители В1, В2,  В3 должны получить эту продукцию в количествах 110, 350, 140 т соответственно. Найти такой вариант прикрепления поставщиков к потребителям, при котором сумма затрат на перевозки была бы минимальной. Расходы по перевозке ед. продукции заданы в таблице.</a:t>
          </a:r>
        </a:p>
        <a:p>
          <a:endParaRPr lang="ru-RU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B8685-F0E6-4B76-956D-7BA4B81C8B07}">
  <dimension ref="A1"/>
  <sheetViews>
    <sheetView zoomScale="55" zoomScaleNormal="55" workbookViewId="0">
      <selection activeCell="O49" sqref="O49"/>
    </sheetView>
  </sheetViews>
  <sheetFormatPr defaultRowHeight="14.4" x14ac:dyDescent="0.3"/>
  <sheetData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70" zoomScaleNormal="70" workbookViewId="0">
      <selection activeCell="F17" sqref="F17"/>
    </sheetView>
  </sheetViews>
  <sheetFormatPr defaultRowHeight="14.4" x14ac:dyDescent="0.3"/>
  <cols>
    <col min="1" max="1" width="11.88671875" customWidth="1"/>
    <col min="4" max="4" width="9.6640625" bestFit="1" customWidth="1"/>
    <col min="6" max="6" width="17.109375" customWidth="1"/>
    <col min="7" max="7" width="12.6640625" bestFit="1" customWidth="1"/>
  </cols>
  <sheetData>
    <row r="1" spans="1:11" ht="50.25" customHeight="1" x14ac:dyDescent="0.3"/>
    <row r="7" spans="1:11" ht="15.6" x14ac:dyDescent="0.3">
      <c r="A7" s="5"/>
    </row>
    <row r="9" spans="1:11" ht="15.6" x14ac:dyDescent="0.3">
      <c r="A9" s="5"/>
      <c r="F9" s="6"/>
    </row>
    <row r="11" spans="1:11" ht="15" thickBot="1" x14ac:dyDescent="0.35"/>
    <row r="12" spans="1:11" ht="45" customHeight="1" thickBot="1" x14ac:dyDescent="0.35">
      <c r="A12" s="19" t="s">
        <v>0</v>
      </c>
      <c r="B12" s="21" t="s">
        <v>1</v>
      </c>
      <c r="C12" s="22"/>
      <c r="D12" s="19" t="s">
        <v>2</v>
      </c>
      <c r="K12" s="5"/>
    </row>
    <row r="13" spans="1:11" ht="16.2" thickBot="1" x14ac:dyDescent="0.35">
      <c r="A13" s="20"/>
      <c r="B13" s="17" t="s">
        <v>3</v>
      </c>
      <c r="C13" s="17" t="s">
        <v>4</v>
      </c>
      <c r="D13" s="20"/>
    </row>
    <row r="14" spans="1:11" ht="18.600000000000001" thickBot="1" x14ac:dyDescent="0.35">
      <c r="A14" s="18" t="s">
        <v>5</v>
      </c>
      <c r="B14" s="17">
        <v>2</v>
      </c>
      <c r="C14" s="17">
        <v>3</v>
      </c>
      <c r="D14" s="17">
        <v>19</v>
      </c>
    </row>
    <row r="15" spans="1:11" ht="18.600000000000001" thickBot="1" x14ac:dyDescent="0.35">
      <c r="A15" s="18" t="s">
        <v>6</v>
      </c>
      <c r="B15" s="17">
        <v>2</v>
      </c>
      <c r="C15" s="17">
        <v>1</v>
      </c>
      <c r="D15" s="17">
        <v>13</v>
      </c>
    </row>
    <row r="16" spans="1:11" ht="18.600000000000001" thickBot="1" x14ac:dyDescent="0.35">
      <c r="A16" s="18" t="s">
        <v>7</v>
      </c>
      <c r="B16" s="17">
        <v>0</v>
      </c>
      <c r="C16" s="17">
        <v>3</v>
      </c>
      <c r="D16" s="17">
        <v>15</v>
      </c>
    </row>
    <row r="17" spans="1:8" ht="18.600000000000001" thickBot="1" x14ac:dyDescent="0.35">
      <c r="A17" s="18" t="s">
        <v>8</v>
      </c>
      <c r="B17" s="17">
        <v>3</v>
      </c>
      <c r="C17" s="17">
        <v>0</v>
      </c>
      <c r="D17" s="17">
        <v>18</v>
      </c>
    </row>
    <row r="18" spans="1:8" ht="63" thickBot="1" x14ac:dyDescent="0.35">
      <c r="A18" s="14" t="s">
        <v>9</v>
      </c>
      <c r="B18" s="17">
        <v>7</v>
      </c>
      <c r="C18" s="17">
        <v>5</v>
      </c>
      <c r="D18" s="17" t="s">
        <v>10</v>
      </c>
    </row>
    <row r="20" spans="1:8" ht="15.6" x14ac:dyDescent="0.3">
      <c r="A20" s="5"/>
      <c r="F20" s="6" t="s">
        <v>11</v>
      </c>
    </row>
    <row r="21" spans="1:8" x14ac:dyDescent="0.3">
      <c r="F21">
        <f>B18*F25+C18*G25</f>
        <v>49.999999999999993</v>
      </c>
    </row>
    <row r="23" spans="1:8" ht="36" x14ac:dyDescent="0.3">
      <c r="A23" s="5"/>
      <c r="F23" s="13" t="s">
        <v>12</v>
      </c>
      <c r="G23" s="13"/>
    </row>
    <row r="24" spans="1:8" ht="18" x14ac:dyDescent="0.3">
      <c r="F24" s="7" t="s">
        <v>13</v>
      </c>
      <c r="G24" s="7" t="s">
        <v>14</v>
      </c>
    </row>
    <row r="25" spans="1:8" ht="18" x14ac:dyDescent="0.35">
      <c r="A25" s="5"/>
      <c r="F25" s="8">
        <v>4.9999999999999991</v>
      </c>
      <c r="G25" s="8">
        <v>3.0000000000000004</v>
      </c>
    </row>
    <row r="27" spans="1:8" x14ac:dyDescent="0.3">
      <c r="F27" t="s">
        <v>16</v>
      </c>
    </row>
    <row r="28" spans="1:8" ht="15.6" x14ac:dyDescent="0.3">
      <c r="A28" s="5"/>
      <c r="F28">
        <f>$F$25*B14+C14*$G$25</f>
        <v>19</v>
      </c>
      <c r="G28" s="15" t="s">
        <v>17</v>
      </c>
      <c r="H28">
        <f>D14</f>
        <v>19</v>
      </c>
    </row>
    <row r="29" spans="1:8" x14ac:dyDescent="0.3">
      <c r="F29">
        <f t="shared" ref="F29:F31" si="0">$F$25*B15+C15*$G$25</f>
        <v>12.999999999999998</v>
      </c>
      <c r="G29" s="15" t="s">
        <v>17</v>
      </c>
      <c r="H29">
        <f>D15</f>
        <v>13</v>
      </c>
    </row>
    <row r="30" spans="1:8" x14ac:dyDescent="0.3">
      <c r="F30">
        <f t="shared" si="0"/>
        <v>9.0000000000000018</v>
      </c>
      <c r="G30" s="15" t="s">
        <v>17</v>
      </c>
      <c r="H30">
        <f>D16</f>
        <v>15</v>
      </c>
    </row>
    <row r="31" spans="1:8" x14ac:dyDescent="0.3">
      <c r="F31">
        <f t="shared" si="0"/>
        <v>14.999999999999996</v>
      </c>
      <c r="G31" s="15" t="s">
        <v>17</v>
      </c>
      <c r="H31">
        <f>D17</f>
        <v>18</v>
      </c>
    </row>
  </sheetData>
  <mergeCells count="3">
    <mergeCell ref="D12:D13"/>
    <mergeCell ref="B12:C12"/>
    <mergeCell ref="A12:A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topLeftCell="I1" workbookViewId="0">
      <selection activeCell="H9" sqref="H9"/>
    </sheetView>
  </sheetViews>
  <sheetFormatPr defaultRowHeight="14.4" x14ac:dyDescent="0.3"/>
  <cols>
    <col min="1" max="1" width="10.6640625" customWidth="1"/>
    <col min="8" max="8" width="16.88671875" bestFit="1" customWidth="1"/>
  </cols>
  <sheetData>
    <row r="1" spans="1:11" ht="65.25" customHeight="1" thickBot="1" x14ac:dyDescent="0.35">
      <c r="A1" s="19" t="s">
        <v>18</v>
      </c>
      <c r="B1" s="21" t="s">
        <v>19</v>
      </c>
      <c r="C1" s="23"/>
      <c r="D1" s="23"/>
      <c r="E1" s="24"/>
      <c r="F1" s="25" t="s">
        <v>20</v>
      </c>
    </row>
    <row r="2" spans="1:11" ht="16.2" thickBot="1" x14ac:dyDescent="0.35">
      <c r="A2" s="20"/>
      <c r="B2" s="1">
        <v>1</v>
      </c>
      <c r="C2" s="1">
        <v>2</v>
      </c>
      <c r="D2" s="1">
        <v>3</v>
      </c>
      <c r="E2" s="1">
        <v>4</v>
      </c>
      <c r="F2" s="26"/>
    </row>
    <row r="3" spans="1:11" ht="16.2" thickBot="1" x14ac:dyDescent="0.35">
      <c r="A3" s="2" t="s">
        <v>21</v>
      </c>
      <c r="B3" s="1">
        <v>4</v>
      </c>
      <c r="C3" s="1">
        <v>1</v>
      </c>
      <c r="D3" s="1">
        <v>6</v>
      </c>
      <c r="E3" s="1">
        <v>3</v>
      </c>
      <c r="F3" s="1">
        <v>200</v>
      </c>
    </row>
    <row r="4" spans="1:11" ht="16.2" thickBot="1" x14ac:dyDescent="0.35">
      <c r="A4" s="2" t="s">
        <v>22</v>
      </c>
      <c r="B4" s="1">
        <v>5</v>
      </c>
      <c r="C4" s="1">
        <v>8</v>
      </c>
      <c r="D4" s="1">
        <v>5</v>
      </c>
      <c r="E4" s="1">
        <v>4</v>
      </c>
      <c r="F4" s="1">
        <v>350</v>
      </c>
    </row>
    <row r="5" spans="1:11" ht="16.2" thickBot="1" x14ac:dyDescent="0.35">
      <c r="A5" s="2" t="s">
        <v>23</v>
      </c>
      <c r="B5" s="1">
        <v>2</v>
      </c>
      <c r="C5" s="1">
        <v>6</v>
      </c>
      <c r="D5" s="1">
        <v>5</v>
      </c>
      <c r="E5" s="1">
        <v>4</v>
      </c>
      <c r="F5" s="1">
        <v>220</v>
      </c>
    </row>
    <row r="6" spans="1:11" ht="47.4" thickBot="1" x14ac:dyDescent="0.35">
      <c r="A6" s="3" t="s">
        <v>24</v>
      </c>
      <c r="B6" s="1">
        <v>3</v>
      </c>
      <c r="C6" s="1">
        <v>6</v>
      </c>
      <c r="D6" s="1">
        <v>6</v>
      </c>
      <c r="E6" s="1">
        <v>5</v>
      </c>
      <c r="F6" s="1" t="s">
        <v>25</v>
      </c>
    </row>
    <row r="8" spans="1:11" x14ac:dyDescent="0.3">
      <c r="H8" t="s">
        <v>11</v>
      </c>
    </row>
    <row r="9" spans="1:11" x14ac:dyDescent="0.3">
      <c r="H9">
        <f>B6*H13+C6*I13+D6*J13+E6*K13</f>
        <v>110</v>
      </c>
    </row>
    <row r="11" spans="1:11" x14ac:dyDescent="0.3">
      <c r="H11" s="27" t="s">
        <v>26</v>
      </c>
      <c r="I11" s="27"/>
      <c r="J11" s="27"/>
      <c r="K11" s="27"/>
    </row>
    <row r="12" spans="1:11" x14ac:dyDescent="0.3">
      <c r="H12" t="s">
        <v>13</v>
      </c>
      <c r="I12" t="s">
        <v>14</v>
      </c>
      <c r="J12" t="s">
        <v>27</v>
      </c>
      <c r="K12" t="s">
        <v>28</v>
      </c>
    </row>
    <row r="13" spans="1:11" x14ac:dyDescent="0.3">
      <c r="H13">
        <v>0</v>
      </c>
      <c r="I13">
        <v>0</v>
      </c>
      <c r="J13">
        <v>0</v>
      </c>
      <c r="K13">
        <v>22</v>
      </c>
    </row>
    <row r="15" spans="1:11" x14ac:dyDescent="0.3">
      <c r="H15" s="27" t="s">
        <v>15</v>
      </c>
      <c r="I15" s="27"/>
      <c r="J15" s="27"/>
    </row>
    <row r="16" spans="1:11" x14ac:dyDescent="0.3">
      <c r="H16">
        <f>B3*$H$13+C3*$I$13*$C$2+D3*$J$13*$D$2+E3*$K$13*$E$2</f>
        <v>264</v>
      </c>
      <c r="I16" s="11" t="s">
        <v>29</v>
      </c>
      <c r="J16">
        <f>F3</f>
        <v>200</v>
      </c>
    </row>
    <row r="17" spans="8:10" x14ac:dyDescent="0.3">
      <c r="H17">
        <f t="shared" ref="H17:H18" si="0">B4*$H$13+C4*$I$13*$C$2+D4*$J$13*$D$2+E4*$K$13*$E$2</f>
        <v>352</v>
      </c>
      <c r="I17" s="11" t="s">
        <v>29</v>
      </c>
      <c r="J17">
        <f t="shared" ref="J17:J18" si="1">F4</f>
        <v>350</v>
      </c>
    </row>
    <row r="18" spans="8:10" x14ac:dyDescent="0.3">
      <c r="H18">
        <f t="shared" si="0"/>
        <v>352</v>
      </c>
      <c r="I18" s="11" t="s">
        <v>29</v>
      </c>
      <c r="J18">
        <f t="shared" si="1"/>
        <v>220</v>
      </c>
    </row>
  </sheetData>
  <mergeCells count="5">
    <mergeCell ref="A1:A2"/>
    <mergeCell ref="B1:E1"/>
    <mergeCell ref="F1:F2"/>
    <mergeCell ref="H11:K11"/>
    <mergeCell ref="H15:J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tabSelected="1" zoomScale="85" zoomScaleNormal="85" workbookViewId="0">
      <selection activeCell="W22" sqref="W22"/>
    </sheetView>
  </sheetViews>
  <sheetFormatPr defaultRowHeight="14.4" x14ac:dyDescent="0.3"/>
  <cols>
    <col min="7" max="7" width="16.88671875" bestFit="1" customWidth="1"/>
  </cols>
  <sheetData>
    <row r="1" spans="1:11" ht="16.2" thickBot="1" x14ac:dyDescent="0.35">
      <c r="A1" s="28" t="s">
        <v>30</v>
      </c>
      <c r="B1" s="31" t="s">
        <v>31</v>
      </c>
      <c r="C1" s="32"/>
      <c r="D1" s="33"/>
      <c r="E1" s="28" t="s">
        <v>32</v>
      </c>
      <c r="G1" s="28" t="s">
        <v>30</v>
      </c>
      <c r="H1" s="31" t="s">
        <v>31</v>
      </c>
      <c r="I1" s="32"/>
      <c r="J1" s="33"/>
      <c r="K1" s="28" t="s">
        <v>32</v>
      </c>
    </row>
    <row r="2" spans="1:11" ht="18.600000000000001" thickBot="1" x14ac:dyDescent="0.45">
      <c r="A2" s="29"/>
      <c r="B2" s="12" t="s">
        <v>33</v>
      </c>
      <c r="C2" s="12" t="s">
        <v>34</v>
      </c>
      <c r="D2" s="12" t="s">
        <v>35</v>
      </c>
      <c r="E2" s="29"/>
      <c r="G2" s="29"/>
      <c r="H2" s="12" t="s">
        <v>33</v>
      </c>
      <c r="I2" s="12" t="s">
        <v>34</v>
      </c>
      <c r="J2" s="12" t="s">
        <v>35</v>
      </c>
      <c r="K2" s="29"/>
    </row>
    <row r="3" spans="1:11" ht="18.600000000000001" thickBot="1" x14ac:dyDescent="0.45">
      <c r="A3" s="2" t="s">
        <v>36</v>
      </c>
      <c r="B3" s="1">
        <v>5</v>
      </c>
      <c r="C3" s="1">
        <v>2</v>
      </c>
      <c r="D3" s="1">
        <v>2</v>
      </c>
      <c r="E3" s="1">
        <v>180</v>
      </c>
      <c r="G3" s="2" t="s">
        <v>36</v>
      </c>
      <c r="H3" s="9">
        <v>0</v>
      </c>
      <c r="I3" s="9">
        <v>40.000000000000014</v>
      </c>
      <c r="J3" s="9">
        <v>140</v>
      </c>
      <c r="K3" s="9">
        <f>E3</f>
        <v>180</v>
      </c>
    </row>
    <row r="4" spans="1:11" ht="18.600000000000001" thickBot="1" x14ac:dyDescent="0.45">
      <c r="A4" s="2" t="s">
        <v>37</v>
      </c>
      <c r="B4" s="1">
        <v>1</v>
      </c>
      <c r="C4" s="1">
        <v>4</v>
      </c>
      <c r="D4" s="1">
        <v>5</v>
      </c>
      <c r="E4" s="1">
        <v>300</v>
      </c>
      <c r="G4" s="2" t="s">
        <v>37</v>
      </c>
      <c r="H4" s="9">
        <v>109.99999999999321</v>
      </c>
      <c r="I4" s="9">
        <v>190.00000000000679</v>
      </c>
      <c r="J4" s="9">
        <v>0</v>
      </c>
      <c r="K4" s="9">
        <f t="shared" ref="K4:K5" si="0">E4</f>
        <v>300</v>
      </c>
    </row>
    <row r="5" spans="1:11" ht="18.600000000000001" thickBot="1" x14ac:dyDescent="0.45">
      <c r="A5" s="2" t="s">
        <v>38</v>
      </c>
      <c r="B5" s="1">
        <v>6</v>
      </c>
      <c r="C5" s="1">
        <v>3</v>
      </c>
      <c r="D5" s="1">
        <v>8</v>
      </c>
      <c r="E5" s="1">
        <v>120</v>
      </c>
      <c r="G5" s="2" t="s">
        <v>38</v>
      </c>
      <c r="H5" s="9">
        <v>0</v>
      </c>
      <c r="I5" s="9">
        <v>120.00000000000001</v>
      </c>
      <c r="J5" s="9">
        <v>0</v>
      </c>
      <c r="K5" s="9">
        <f t="shared" si="0"/>
        <v>120</v>
      </c>
    </row>
    <row r="6" spans="1:11" ht="34.799999999999997" thickBot="1" x14ac:dyDescent="0.5">
      <c r="A6" s="3" t="s">
        <v>39</v>
      </c>
      <c r="B6" s="1">
        <v>110</v>
      </c>
      <c r="C6" s="1">
        <v>350</v>
      </c>
      <c r="D6" s="1">
        <v>140</v>
      </c>
      <c r="E6" s="1"/>
      <c r="G6" s="4" t="s">
        <v>39</v>
      </c>
      <c r="H6" s="9">
        <f>B6</f>
        <v>110</v>
      </c>
      <c r="I6" s="9">
        <f t="shared" ref="I6:J6" si="1">C6</f>
        <v>350</v>
      </c>
      <c r="J6" s="9">
        <f t="shared" si="1"/>
        <v>140</v>
      </c>
      <c r="K6" s="9"/>
    </row>
    <row r="8" spans="1:11" x14ac:dyDescent="0.3">
      <c r="G8" t="s">
        <v>11</v>
      </c>
    </row>
    <row r="9" spans="1:11" x14ac:dyDescent="0.3">
      <c r="G9">
        <f>SUMPRODUCT(B3:D5,H3:J5)</f>
        <v>1590.0000000000205</v>
      </c>
    </row>
    <row r="11" spans="1:11" x14ac:dyDescent="0.3">
      <c r="G11" s="27" t="s">
        <v>15</v>
      </c>
      <c r="H11" s="27"/>
      <c r="I11" s="27"/>
    </row>
    <row r="12" spans="1:11" x14ac:dyDescent="0.3">
      <c r="F12" s="30" t="s">
        <v>41</v>
      </c>
      <c r="G12">
        <f>SUM(H3:J3)</f>
        <v>180</v>
      </c>
      <c r="H12" s="10" t="s">
        <v>40</v>
      </c>
      <c r="I12">
        <f>K3</f>
        <v>180</v>
      </c>
    </row>
    <row r="13" spans="1:11" x14ac:dyDescent="0.3">
      <c r="F13" s="30"/>
      <c r="G13">
        <f t="shared" ref="G13:G14" si="2">SUM(H4:J4)</f>
        <v>300</v>
      </c>
      <c r="H13" s="10" t="s">
        <v>40</v>
      </c>
      <c r="I13">
        <f t="shared" ref="I13:I14" si="3">K4</f>
        <v>300</v>
      </c>
    </row>
    <row r="14" spans="1:11" x14ac:dyDescent="0.3">
      <c r="F14" s="30"/>
      <c r="G14">
        <f t="shared" si="2"/>
        <v>120.00000000000001</v>
      </c>
      <c r="H14" s="10" t="s">
        <v>40</v>
      </c>
      <c r="I14">
        <f t="shared" si="3"/>
        <v>120</v>
      </c>
    </row>
    <row r="15" spans="1:11" x14ac:dyDescent="0.3">
      <c r="F15" s="30" t="s">
        <v>42</v>
      </c>
      <c r="G15" s="16">
        <f>H6</f>
        <v>110</v>
      </c>
      <c r="H15" s="10" t="s">
        <v>40</v>
      </c>
      <c r="I15" s="16">
        <f>SUM(H3:H5)</f>
        <v>109.99999999999321</v>
      </c>
    </row>
    <row r="16" spans="1:11" x14ac:dyDescent="0.3">
      <c r="F16" s="30"/>
      <c r="G16">
        <f>I6</f>
        <v>350</v>
      </c>
      <c r="H16" s="10" t="s">
        <v>40</v>
      </c>
      <c r="I16" s="16">
        <f>SUM(I3:I5)</f>
        <v>350.00000000000682</v>
      </c>
    </row>
    <row r="17" spans="6:9" x14ac:dyDescent="0.3">
      <c r="F17" s="30"/>
      <c r="G17">
        <f>J6</f>
        <v>140</v>
      </c>
      <c r="H17" s="10" t="s">
        <v>40</v>
      </c>
      <c r="I17" s="16">
        <f>SUM(J3:J5)</f>
        <v>140</v>
      </c>
    </row>
    <row r="18" spans="6:9" x14ac:dyDescent="0.3">
      <c r="F18" s="30" t="s">
        <v>41</v>
      </c>
      <c r="G18">
        <f>E3</f>
        <v>180</v>
      </c>
      <c r="H18" s="10" t="s">
        <v>40</v>
      </c>
      <c r="I18">
        <f>K3</f>
        <v>180</v>
      </c>
    </row>
    <row r="19" spans="6:9" x14ac:dyDescent="0.3">
      <c r="F19" s="30"/>
      <c r="G19">
        <f t="shared" ref="G19:G20" si="4">E4</f>
        <v>300</v>
      </c>
      <c r="H19" s="10" t="s">
        <v>40</v>
      </c>
      <c r="I19">
        <f t="shared" ref="I19:I20" si="5">K4</f>
        <v>300</v>
      </c>
    </row>
    <row r="20" spans="6:9" x14ac:dyDescent="0.3">
      <c r="F20" s="30"/>
      <c r="G20">
        <f t="shared" si="4"/>
        <v>120</v>
      </c>
      <c r="H20" s="10" t="s">
        <v>40</v>
      </c>
      <c r="I20">
        <f t="shared" si="5"/>
        <v>120</v>
      </c>
    </row>
    <row r="21" spans="6:9" x14ac:dyDescent="0.3">
      <c r="G21" t="s">
        <v>43</v>
      </c>
    </row>
  </sheetData>
  <mergeCells count="10">
    <mergeCell ref="K1:K2"/>
    <mergeCell ref="F18:F20"/>
    <mergeCell ref="F15:F17"/>
    <mergeCell ref="F12:F14"/>
    <mergeCell ref="A1:A2"/>
    <mergeCell ref="B1:D1"/>
    <mergeCell ref="E1:E2"/>
    <mergeCell ref="G11:I11"/>
    <mergeCell ref="G1:G2"/>
    <mergeCell ref="H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Титульный лист</vt:lpstr>
      <vt:lpstr>Задача 1</vt:lpstr>
      <vt:lpstr>Задача 2</vt:lpstr>
      <vt:lpstr>Задача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Даниил Лоргов</cp:lastModifiedBy>
  <dcterms:created xsi:type="dcterms:W3CDTF">2024-03-26T06:33:40Z</dcterms:created>
  <dcterms:modified xsi:type="dcterms:W3CDTF">2024-05-20T11:01:52Z</dcterms:modified>
</cp:coreProperties>
</file>