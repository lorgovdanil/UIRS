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mbeddings/oleObject1.bin" ContentType="application/vnd.openxmlformats-officedocument.oleObject"/>
  <Override PartName="/xl/drawings/drawing2.xml" ContentType="application/vnd.openxmlformats-officedocument.drawing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6" windowWidth="23256" windowHeight="12588" activeTab="3"/>
  </bookViews>
  <sheets>
    <sheet name="Задача 1" sheetId="1" r:id="rId1"/>
    <sheet name="Задача 2" sheetId="2" r:id="rId2"/>
    <sheet name="Задача 3" sheetId="4" r:id="rId3"/>
    <sheet name="Задача 4 Трансп" sheetId="5" r:id="rId4"/>
    <sheet name="Задача 5 Трансп" sheetId="6" r:id="rId5"/>
    <sheet name="Задача 6 Трансп" sheetId="7" r:id="rId6"/>
  </sheets>
  <definedNames>
    <definedName name="solver_adj" localSheetId="0" hidden="1">'Задача 1'!$C$14:$D$14</definedName>
    <definedName name="solver_adj" localSheetId="1" hidden="1">'Задача 2'!$C$15:$E$15</definedName>
    <definedName name="solver_adj" localSheetId="2" hidden="1">'Задача 3'!$A$2</definedName>
    <definedName name="solver_adj" localSheetId="3" hidden="1">'Задача 4 Трансп'!$J$4:$M$7</definedName>
    <definedName name="solver_adj" localSheetId="4" hidden="1">'Задача 5 Трансп'!$J$4:$M$7</definedName>
    <definedName name="solver_adj" localSheetId="5" hidden="1">'Задача 6 Трансп'!$J$4:$M$7</definedName>
    <definedName name="solver_cvg" localSheetId="0" hidden="1">0.0001</definedName>
    <definedName name="solver_cvg" localSheetId="1" hidden="1">0.0001</definedName>
    <definedName name="solver_cvg" localSheetId="2" hidden="1">0.00000000001</definedName>
    <definedName name="solver_cvg" localSheetId="3" hidden="1">0.0001</definedName>
    <definedName name="solver_cvg" localSheetId="4" hidden="1">0.0001</definedName>
    <definedName name="solver_cvg" localSheetId="5" hidden="1">0.0001</definedName>
    <definedName name="solver_drv" localSheetId="0" hidden="1">1</definedName>
    <definedName name="solver_drv" localSheetId="1" hidden="1">1</definedName>
    <definedName name="solver_drv" localSheetId="2" hidden="1">1</definedName>
    <definedName name="solver_drv" localSheetId="3" hidden="1">1</definedName>
    <definedName name="solver_drv" localSheetId="4" hidden="1">1</definedName>
    <definedName name="solver_drv" localSheetId="5" hidden="1">1</definedName>
    <definedName name="solver_est" localSheetId="0" hidden="1">1</definedName>
    <definedName name="solver_est" localSheetId="1" hidden="1">1</definedName>
    <definedName name="solver_est" localSheetId="2" hidden="1">1</definedName>
    <definedName name="solver_est" localSheetId="3" hidden="1">1</definedName>
    <definedName name="solver_est" localSheetId="4" hidden="1">1</definedName>
    <definedName name="solver_est" localSheetId="5" hidden="1">1</definedName>
    <definedName name="solver_itr" localSheetId="0" hidden="1">100</definedName>
    <definedName name="solver_itr" localSheetId="1" hidden="1">100</definedName>
    <definedName name="solver_itr" localSheetId="2" hidden="1">100</definedName>
    <definedName name="solver_itr" localSheetId="3" hidden="1">100</definedName>
    <definedName name="solver_itr" localSheetId="4" hidden="1">100</definedName>
    <definedName name="solver_itr" localSheetId="5" hidden="1">100</definedName>
    <definedName name="solver_lhs1" localSheetId="0" hidden="1">'Задача 1'!$B$9:$B$10</definedName>
    <definedName name="solver_lhs1" localSheetId="1" hidden="1">'Задача 2'!$B$8:$B$10</definedName>
    <definedName name="solver_lhs1" localSheetId="2" hidden="1">'Задача 3'!$A$2</definedName>
    <definedName name="solver_lhs1" localSheetId="3" hidden="1">'Задача 4 Трансп'!$J$8:$M$8</definedName>
    <definedName name="solver_lhs1" localSheetId="4" hidden="1">'Задача 5 Трансп'!$J$8:$M$8</definedName>
    <definedName name="solver_lhs1" localSheetId="5" hidden="1">'Задача 6 Трансп'!$J$8:$M$8</definedName>
    <definedName name="solver_lhs2" localSheetId="0" hidden="1">'Задача 1'!$C$14:$D$14</definedName>
    <definedName name="solver_lhs2" localSheetId="1" hidden="1">'Задача 2'!$B$11</definedName>
    <definedName name="solver_lhs2" localSheetId="2" hidden="1">'Задача 3'!$A$2</definedName>
    <definedName name="solver_lhs2" localSheetId="3" hidden="1">'Задача 4 Трансп'!$N$4:$N$7</definedName>
    <definedName name="solver_lhs2" localSheetId="4" hidden="1">'Задача 5 Трансп'!$N$4:$N$7</definedName>
    <definedName name="solver_lhs2" localSheetId="5" hidden="1">'Задача 6 Трансп'!$N$4:$N$7</definedName>
    <definedName name="solver_lhs3" localSheetId="0" hidden="1">'Задача 1'!$C$14</definedName>
    <definedName name="solver_lhs3" localSheetId="1" hidden="1">'Задача 2'!$C$15:$E$15</definedName>
    <definedName name="solver_lhs3" localSheetId="3" hidden="1">'Задача 4 Трансп'!$J$4:$M$7</definedName>
    <definedName name="solver_lhs3" localSheetId="4" hidden="1">'Задача 5 Трансп'!$J$4:$M$7</definedName>
    <definedName name="solver_lhs3" localSheetId="5" hidden="1">'Задача 6 Трансп'!$J$4:$M$7</definedName>
    <definedName name="solver_lhs4" localSheetId="0" hidden="1">'Задача 1'!$C$14:$D$14</definedName>
    <definedName name="solver_lhs4" localSheetId="1" hidden="1">'Задача 2'!$C$15:$E$15</definedName>
    <definedName name="solver_lhs4" localSheetId="3" hidden="1">'Задача 4 Трансп'!$J$4:$M$7</definedName>
    <definedName name="solver_lhs4" localSheetId="4" hidden="1">'Задача 5 Трансп'!$J$4:$M$7</definedName>
    <definedName name="solver_lhs4" localSheetId="5" hidden="1">'Задача 6 Трансп'!$J$4:$M$7</definedName>
    <definedName name="solver_lin" localSheetId="0" hidden="1">2</definedName>
    <definedName name="solver_lin" localSheetId="1" hidden="1">2</definedName>
    <definedName name="solver_lin" localSheetId="2" hidden="1">2</definedName>
    <definedName name="solver_lin" localSheetId="3" hidden="1">2</definedName>
    <definedName name="solver_lin" localSheetId="4" hidden="1">2</definedName>
    <definedName name="solver_lin" localSheetId="5" hidden="1">2</definedName>
    <definedName name="solver_neg" localSheetId="0" hidden="1">2</definedName>
    <definedName name="solver_neg" localSheetId="1" hidden="1">2</definedName>
    <definedName name="solver_neg" localSheetId="2" hidden="1">2</definedName>
    <definedName name="solver_neg" localSheetId="3" hidden="1">2</definedName>
    <definedName name="solver_neg" localSheetId="4" hidden="1">2</definedName>
    <definedName name="solver_neg" localSheetId="5" hidden="1">2</definedName>
    <definedName name="solver_num" localSheetId="0" hidden="1">4</definedName>
    <definedName name="solver_num" localSheetId="1" hidden="1">4</definedName>
    <definedName name="solver_num" localSheetId="2" hidden="1">2</definedName>
    <definedName name="solver_num" localSheetId="3" hidden="1">4</definedName>
    <definedName name="solver_num" localSheetId="4" hidden="1">4</definedName>
    <definedName name="solver_num" localSheetId="5" hidden="1">4</definedName>
    <definedName name="solver_nwt" localSheetId="0" hidden="1">1</definedName>
    <definedName name="solver_nwt" localSheetId="1" hidden="1">1</definedName>
    <definedName name="solver_nwt" localSheetId="2" hidden="1">1</definedName>
    <definedName name="solver_nwt" localSheetId="3" hidden="1">1</definedName>
    <definedName name="solver_nwt" localSheetId="4" hidden="1">1</definedName>
    <definedName name="solver_nwt" localSheetId="5" hidden="1">1</definedName>
    <definedName name="solver_opt" localSheetId="0" hidden="1">'Задача 1'!$F$9</definedName>
    <definedName name="solver_opt" localSheetId="1" hidden="1">'Задача 2'!$F$8</definedName>
    <definedName name="solver_opt" localSheetId="2" hidden="1">'Задача 3'!$B$2</definedName>
    <definedName name="solver_opt" localSheetId="3" hidden="1">'Задача 4 Трансп'!$Q$3</definedName>
    <definedName name="solver_opt" localSheetId="4" hidden="1">'Задача 5 Трансп'!$Q$3</definedName>
    <definedName name="solver_opt" localSheetId="5" hidden="1">'Задача 6 Трансп'!$Q$3</definedName>
    <definedName name="solver_pre" localSheetId="0" hidden="1">0.000001</definedName>
    <definedName name="solver_pre" localSheetId="1" hidden="1">0.000001</definedName>
    <definedName name="solver_pre" localSheetId="2" hidden="1">0.00000000001</definedName>
    <definedName name="solver_pre" localSheetId="3" hidden="1">0.000001</definedName>
    <definedName name="solver_pre" localSheetId="4" hidden="1">0.000001</definedName>
    <definedName name="solver_pre" localSheetId="5" hidden="1">0.000001</definedName>
    <definedName name="solver_rel1" localSheetId="0" hidden="1">1</definedName>
    <definedName name="solver_rel1" localSheetId="1" hidden="1">3</definedName>
    <definedName name="solver_rel1" localSheetId="2" hidden="1">1</definedName>
    <definedName name="solver_rel1" localSheetId="3" hidden="1">2</definedName>
    <definedName name="solver_rel1" localSheetId="4" hidden="1">2</definedName>
    <definedName name="solver_rel1" localSheetId="5" hidden="1">2</definedName>
    <definedName name="solver_rel2" localSheetId="0" hidden="1">3</definedName>
    <definedName name="solver_rel2" localSheetId="1" hidden="1">1</definedName>
    <definedName name="solver_rel2" localSheetId="2" hidden="1">3</definedName>
    <definedName name="solver_rel2" localSheetId="3" hidden="1">2</definedName>
    <definedName name="solver_rel2" localSheetId="4" hidden="1">2</definedName>
    <definedName name="solver_rel2" localSheetId="5" hidden="1">2</definedName>
    <definedName name="solver_rel3" localSheetId="0" hidden="1">1</definedName>
    <definedName name="solver_rel3" localSheetId="1" hidden="1">3</definedName>
    <definedName name="solver_rel3" localSheetId="3" hidden="1">3</definedName>
    <definedName name="solver_rel3" localSheetId="4" hidden="1">3</definedName>
    <definedName name="solver_rel3" localSheetId="5" hidden="1">3</definedName>
    <definedName name="solver_rel4" localSheetId="0" hidden="1">4</definedName>
    <definedName name="solver_rel4" localSheetId="1" hidden="1">4</definedName>
    <definedName name="solver_rel4" localSheetId="3" hidden="1">4</definedName>
    <definedName name="solver_rel4" localSheetId="4" hidden="1">4</definedName>
    <definedName name="solver_rel4" localSheetId="5" hidden="1">4</definedName>
    <definedName name="solver_rhs1" localSheetId="0" hidden="1">'Задача 1'!$D$9:$D$10</definedName>
    <definedName name="solver_rhs1" localSheetId="1" hidden="1">'Задача 2'!$D$8:$D$10</definedName>
    <definedName name="solver_rhs1" localSheetId="2" hidden="1">4</definedName>
    <definedName name="solver_rhs1" localSheetId="3" hidden="1">'Задача 4 Трансп'!$C$8:$F$8</definedName>
    <definedName name="solver_rhs1" localSheetId="4" hidden="1">'Задача 5 Трансп'!$C$8:$F$8</definedName>
    <definedName name="solver_rhs1" localSheetId="5" hidden="1">'Задача 6 Трансп'!$C$8:$F$8</definedName>
    <definedName name="solver_rhs2" localSheetId="0" hidden="1">0</definedName>
    <definedName name="solver_rhs2" localSheetId="1" hidden="1">'Задача 2'!$D$11</definedName>
    <definedName name="solver_rhs2" localSheetId="2" hidden="1">0</definedName>
    <definedName name="solver_rhs2" localSheetId="3" hidden="1">'Задача 4 Трансп'!$G$4:$G$7</definedName>
    <definedName name="solver_rhs2" localSheetId="4" hidden="1">'Задача 5 Трансп'!$G$4:$G$7</definedName>
    <definedName name="solver_rhs2" localSheetId="5" hidden="1">'Задача 6 Трансп'!$G$4:$G$7</definedName>
    <definedName name="solver_rhs3" localSheetId="0" hidden="1">4</definedName>
    <definedName name="solver_rhs3" localSheetId="1" hidden="1">0</definedName>
    <definedName name="solver_rhs3" localSheetId="3" hidden="1">0</definedName>
    <definedName name="solver_rhs3" localSheetId="4" hidden="1">0</definedName>
    <definedName name="solver_rhs3" localSheetId="5" hidden="1">0</definedName>
    <definedName name="solver_rhs4" localSheetId="0" hidden="1">целое</definedName>
    <definedName name="solver_rhs4" localSheetId="1" hidden="1">целое</definedName>
    <definedName name="solver_rhs4" localSheetId="3" hidden="1">целое</definedName>
    <definedName name="solver_rhs4" localSheetId="4" hidden="1">целое</definedName>
    <definedName name="solver_rhs4" localSheetId="5" hidden="1">целое</definedName>
    <definedName name="solver_scl" localSheetId="0" hidden="1">2</definedName>
    <definedName name="solver_scl" localSheetId="1" hidden="1">2</definedName>
    <definedName name="solver_scl" localSheetId="2" hidden="1">2</definedName>
    <definedName name="solver_scl" localSheetId="3" hidden="1">2</definedName>
    <definedName name="solver_scl" localSheetId="4" hidden="1">2</definedName>
    <definedName name="solver_scl" localSheetId="5" hidden="1">2</definedName>
    <definedName name="solver_sho" localSheetId="0" hidden="1">2</definedName>
    <definedName name="solver_sho" localSheetId="1" hidden="1">2</definedName>
    <definedName name="solver_sho" localSheetId="2" hidden="1">2</definedName>
    <definedName name="solver_sho" localSheetId="3" hidden="1">2</definedName>
    <definedName name="solver_sho" localSheetId="4" hidden="1">2</definedName>
    <definedName name="solver_sho" localSheetId="5" hidden="1">2</definedName>
    <definedName name="solver_tim" localSheetId="0" hidden="1">100</definedName>
    <definedName name="solver_tim" localSheetId="1" hidden="1">100</definedName>
    <definedName name="solver_tim" localSheetId="2" hidden="1">100</definedName>
    <definedName name="solver_tim" localSheetId="3" hidden="1">100</definedName>
    <definedName name="solver_tim" localSheetId="4" hidden="1">100</definedName>
    <definedName name="solver_tim" localSheetId="5" hidden="1">100</definedName>
    <definedName name="solver_tol" localSheetId="0" hidden="1">0.05</definedName>
    <definedName name="solver_tol" localSheetId="1" hidden="1">0.05</definedName>
    <definedName name="solver_tol" localSheetId="2" hidden="1">0.000001</definedName>
    <definedName name="solver_tol" localSheetId="3" hidden="1">0.05</definedName>
    <definedName name="solver_tol" localSheetId="4" hidden="1">0.05</definedName>
    <definedName name="solver_tol" localSheetId="5" hidden="1">0.05</definedName>
    <definedName name="solver_typ" localSheetId="0" hidden="1">1</definedName>
    <definedName name="solver_typ" localSheetId="1" hidden="1">2</definedName>
    <definedName name="solver_typ" localSheetId="2" hidden="1">3</definedName>
    <definedName name="solver_typ" localSheetId="3" hidden="1">2</definedName>
    <definedName name="solver_typ" localSheetId="4" hidden="1">2</definedName>
    <definedName name="solver_typ" localSheetId="5" hidden="1">2</definedName>
    <definedName name="solver_val" localSheetId="0" hidden="1">0</definedName>
    <definedName name="solver_val" localSheetId="1" hidden="1">0</definedName>
    <definedName name="solver_val" localSheetId="2" hidden="1">0</definedName>
    <definedName name="solver_val" localSheetId="3" hidden="1">0</definedName>
    <definedName name="solver_val" localSheetId="4" hidden="1">0</definedName>
    <definedName name="solver_val" localSheetId="5" hidden="1">0</definedName>
  </definedNames>
  <calcPr calcId="125725"/>
</workbook>
</file>

<file path=xl/calcChain.xml><?xml version="1.0" encoding="utf-8"?>
<calcChain xmlns="http://schemas.openxmlformats.org/spreadsheetml/2006/main">
  <c r="M8" i="7"/>
  <c r="L8"/>
  <c r="K8"/>
  <c r="J8"/>
  <c r="N7"/>
  <c r="N6"/>
  <c r="N5"/>
  <c r="N4"/>
  <c r="Q3"/>
  <c r="M8" i="6"/>
  <c r="L8"/>
  <c r="K8"/>
  <c r="J8"/>
  <c r="N7"/>
  <c r="N6"/>
  <c r="N5"/>
  <c r="N4"/>
  <c r="Q3"/>
  <c r="Q3" i="5"/>
  <c r="M8"/>
  <c r="L8"/>
  <c r="K8"/>
  <c r="N7"/>
  <c r="N6"/>
  <c r="N5"/>
  <c r="N4"/>
  <c r="J8"/>
  <c r="B2" i="4"/>
  <c r="G4"/>
  <c r="G5"/>
  <c r="G6"/>
  <c r="G7"/>
  <c r="G8"/>
  <c r="G9"/>
  <c r="G10"/>
  <c r="G11"/>
  <c r="G12"/>
  <c r="G13"/>
  <c r="G14"/>
  <c r="G15"/>
  <c r="G16"/>
  <c r="G17"/>
  <c r="G18"/>
  <c r="G19"/>
  <c r="G20"/>
  <c r="G21"/>
  <c r="G22"/>
  <c r="G23"/>
  <c r="G24"/>
  <c r="G25"/>
  <c r="G26"/>
  <c r="G27"/>
  <c r="G28"/>
  <c r="G29"/>
  <c r="G30"/>
  <c r="G31"/>
  <c r="G32"/>
  <c r="G33"/>
  <c r="G34"/>
  <c r="G35"/>
  <c r="G36"/>
  <c r="G37"/>
  <c r="G38"/>
  <c r="G39"/>
  <c r="G40"/>
  <c r="G41"/>
  <c r="G42"/>
  <c r="G43"/>
  <c r="G44"/>
  <c r="G45"/>
  <c r="G46"/>
  <c r="G47"/>
  <c r="G48"/>
  <c r="G49"/>
  <c r="G50"/>
  <c r="G51"/>
  <c r="G52"/>
  <c r="G3"/>
  <c r="G2"/>
  <c r="D10" i="2" l="1"/>
  <c r="B11"/>
  <c r="B10"/>
  <c r="B9"/>
  <c r="B8"/>
  <c r="F8"/>
  <c r="D11"/>
  <c r="D8"/>
  <c r="F9" i="1"/>
  <c r="B10"/>
  <c r="B9"/>
  <c r="D10"/>
  <c r="D9"/>
</calcChain>
</file>

<file path=xl/sharedStrings.xml><?xml version="1.0" encoding="utf-8"?>
<sst xmlns="http://schemas.openxmlformats.org/spreadsheetml/2006/main" count="155" uniqueCount="59">
  <si>
    <t>Исходный продукт</t>
  </si>
  <si>
    <t>Суточный запас, т</t>
  </si>
  <si>
    <t>Краска А</t>
  </si>
  <si>
    <t>Краска В</t>
  </si>
  <si>
    <t>Пигмент</t>
  </si>
  <si>
    <t>Олифа</t>
  </si>
  <si>
    <r>
      <t>Прибыль, ден.ед., c</t>
    </r>
    <r>
      <rPr>
        <vertAlign val="subscript"/>
        <sz val="12"/>
        <color theme="1"/>
        <rFont val="Times New Roman"/>
        <family val="1"/>
        <charset val="204"/>
      </rPr>
      <t>i</t>
    </r>
  </si>
  <si>
    <r>
      <t xml:space="preserve">→ </t>
    </r>
    <r>
      <rPr>
        <i/>
        <sz val="12"/>
        <color theme="1"/>
        <rFont val="Times New Roman"/>
        <family val="1"/>
        <charset val="204"/>
      </rPr>
      <t>max</t>
    </r>
  </si>
  <si>
    <t>Затраты ресурса на ед. товара</t>
  </si>
  <si>
    <t>Дано</t>
  </si>
  <si>
    <t>Уравнения ограничения</t>
  </si>
  <si>
    <t>Параметры оптимизации</t>
  </si>
  <si>
    <t>x1</t>
  </si>
  <si>
    <t>x2</t>
  </si>
  <si>
    <t>&lt;=</t>
  </si>
  <si>
    <t>Ограничение</t>
  </si>
  <si>
    <t>Ограничения на параметры</t>
  </si>
  <si>
    <t>&gt;=</t>
  </si>
  <si>
    <t>целое</t>
  </si>
  <si>
    <t>Целевая функция</t>
  </si>
  <si>
    <t xml:space="preserve">Показатель </t>
  </si>
  <si>
    <t xml:space="preserve">Комбикорм </t>
  </si>
  <si>
    <t xml:space="preserve">Сено </t>
  </si>
  <si>
    <t xml:space="preserve">Силос </t>
  </si>
  <si>
    <t xml:space="preserve">Кормовые единицы, кг </t>
  </si>
  <si>
    <t xml:space="preserve">Переваримый протеин, г </t>
  </si>
  <si>
    <t xml:space="preserve">Себестоимость 1 кг корма, руб. </t>
  </si>
  <si>
    <t>В сутки не менее</t>
  </si>
  <si>
    <t xml:space="preserve">→min </t>
  </si>
  <si>
    <t xml:space="preserve">16,1 кг. </t>
  </si>
  <si>
    <t xml:space="preserve">1816 г. </t>
  </si>
  <si>
    <t>x3</t>
  </si>
  <si>
    <t>Ограничения на параметры оптимизации</t>
  </si>
  <si>
    <t>&gt;=0</t>
  </si>
  <si>
    <t>x</t>
  </si>
  <si>
    <t>f(x)=x*sin(x)-0,5</t>
  </si>
  <si>
    <t>Пункты отправления (Склады)</t>
  </si>
  <si>
    <t>Пункты назначения (Магазины)</t>
  </si>
  <si>
    <r>
      <t xml:space="preserve">Запасы </t>
    </r>
    <r>
      <rPr>
        <b/>
        <sz val="12"/>
        <color theme="1"/>
        <rFont val="Times New Roman"/>
        <family val="1"/>
        <charset val="204"/>
      </rPr>
      <t>a</t>
    </r>
    <r>
      <rPr>
        <b/>
        <vertAlign val="subscript"/>
        <sz val="12"/>
        <color theme="1"/>
        <rFont val="Times New Roman"/>
        <family val="1"/>
        <charset val="204"/>
      </rPr>
      <t>i</t>
    </r>
  </si>
  <si>
    <t>А</t>
  </si>
  <si>
    <t>B</t>
  </si>
  <si>
    <t>C</t>
  </si>
  <si>
    <t>D</t>
  </si>
  <si>
    <r>
      <t xml:space="preserve">Заявки </t>
    </r>
    <r>
      <rPr>
        <b/>
        <sz val="12"/>
        <color theme="1"/>
        <rFont val="Times New Roman"/>
        <family val="1"/>
        <charset val="204"/>
      </rPr>
      <t>b</t>
    </r>
    <r>
      <rPr>
        <b/>
        <vertAlign val="subscript"/>
        <sz val="12"/>
        <color theme="1"/>
        <rFont val="Times New Roman"/>
        <family val="1"/>
        <charset val="204"/>
      </rPr>
      <t>j</t>
    </r>
  </si>
  <si>
    <t>матрица стоимости доставки 1 товара</t>
  </si>
  <si>
    <t>матрица количества доставки товара</t>
  </si>
  <si>
    <t>"=СУММПРОИЗВ(C4:F7;J4:M7)"</t>
  </si>
  <si>
    <t>"=СУММ(J4:M4)"</t>
  </si>
  <si>
    <t>"=СУММ(J5:M5)"</t>
  </si>
  <si>
    <t>"=СУММ(J6:M6)"</t>
  </si>
  <si>
    <t>"=СУММ(J7:M7)"</t>
  </si>
  <si>
    <t>"=СУММ(K4:K7)"</t>
  </si>
  <si>
    <t>"=СУММ(L4:L7)"</t>
  </si>
  <si>
    <t>"=СУММ(M4:M7)"</t>
  </si>
  <si>
    <t>"=СУММ(J4:J7)"</t>
  </si>
  <si>
    <t>Стоимость доставки, заявки и запасы (дано)</t>
  </si>
  <si>
    <t>Количество доставки,  что привезли и что вывезли (получено из решения)</t>
  </si>
  <si>
    <t>Стоимость перевозки</t>
  </si>
  <si>
    <t>3 мнимый</t>
  </si>
</sst>
</file>

<file path=xl/styles.xml><?xml version="1.0" encoding="utf-8"?>
<styleSheet xmlns="http://schemas.openxmlformats.org/spreadsheetml/2006/main">
  <numFmts count="1">
    <numFmt numFmtId="164" formatCode="0.00000000000000"/>
  </numFmts>
  <fonts count="18">
    <font>
      <sz val="11"/>
      <color theme="1"/>
      <name val="Calibri"/>
      <family val="2"/>
      <charset val="204"/>
      <scheme val="minor"/>
    </font>
    <font>
      <sz val="14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vertAlign val="subscript"/>
      <sz val="12"/>
      <color theme="1"/>
      <name val="Times New Roman"/>
      <family val="1"/>
      <charset val="204"/>
    </font>
    <font>
      <i/>
      <sz val="12"/>
      <color theme="1"/>
      <name val="Times New Roman"/>
      <family val="1"/>
      <charset val="204"/>
    </font>
    <font>
      <sz val="14"/>
      <color rgb="FF000000"/>
      <name val="Times New Roman"/>
      <family val="1"/>
      <charset val="204"/>
    </font>
    <font>
      <i/>
      <sz val="14"/>
      <color rgb="FF000000"/>
      <name val="Times New Roman"/>
      <family val="1"/>
      <charset val="204"/>
    </font>
    <font>
      <b/>
      <sz val="14"/>
      <color rgb="FF000000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vertAlign val="subscript"/>
      <sz val="12"/>
      <color theme="1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b/>
      <sz val="14"/>
      <color rgb="FFC00000"/>
      <name val="Times New Roman"/>
      <family val="1"/>
      <charset val="204"/>
    </font>
    <font>
      <b/>
      <sz val="12"/>
      <color rgb="FF7030A0"/>
      <name val="Times New Roman"/>
      <family val="1"/>
      <charset val="204"/>
    </font>
    <font>
      <b/>
      <sz val="12"/>
      <color rgb="FFC00000"/>
      <name val="Times New Roman"/>
      <family val="1"/>
      <charset val="204"/>
    </font>
    <font>
      <sz val="12"/>
      <color rgb="FFC00000"/>
      <name val="Times New Roman"/>
      <family val="1"/>
      <charset val="204"/>
    </font>
    <font>
      <b/>
      <sz val="12"/>
      <color rgb="FFFF0000"/>
      <name val="Times New Roman"/>
      <family val="1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CC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/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6" xfId="0" applyFont="1" applyFill="1" applyBorder="1"/>
    <xf numFmtId="0" fontId="1" fillId="2" borderId="6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5" borderId="6" xfId="0" applyFont="1" applyFill="1" applyBorder="1"/>
    <xf numFmtId="0" fontId="1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 readingOrder="1"/>
    </xf>
    <xf numFmtId="0" fontId="6" fillId="0" borderId="6" xfId="0" applyFont="1" applyBorder="1" applyAlignment="1">
      <alignment horizontal="center" vertical="center" wrapText="1" readingOrder="1"/>
    </xf>
    <xf numFmtId="0" fontId="7" fillId="0" borderId="6" xfId="0" applyFont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/>
    </xf>
    <xf numFmtId="0" fontId="1" fillId="4" borderId="6" xfId="0" applyFont="1" applyFill="1" applyBorder="1" applyAlignment="1">
      <alignment horizontal="center"/>
    </xf>
    <xf numFmtId="0" fontId="1" fillId="5" borderId="6" xfId="0" applyFont="1" applyFill="1" applyBorder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2" fillId="0" borderId="4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11" fillId="0" borderId="4" xfId="0" applyFont="1" applyBorder="1" applyAlignment="1">
      <alignment horizontal="center" wrapText="1"/>
    </xf>
    <xf numFmtId="0" fontId="8" fillId="0" borderId="4" xfId="0" applyFont="1" applyBorder="1" applyAlignment="1">
      <alignment horizontal="center" wrapText="1"/>
    </xf>
    <xf numFmtId="0" fontId="10" fillId="6" borderId="4" xfId="0" applyFont="1" applyFill="1" applyBorder="1" applyAlignment="1">
      <alignment horizontal="center" wrapText="1"/>
    </xf>
    <xf numFmtId="0" fontId="1" fillId="6" borderId="6" xfId="0" applyFont="1" applyFill="1" applyBorder="1"/>
    <xf numFmtId="0" fontId="1" fillId="7" borderId="6" xfId="0" applyFont="1" applyFill="1" applyBorder="1"/>
    <xf numFmtId="0" fontId="12" fillId="0" borderId="0" xfId="0" applyFont="1" applyAlignment="1">
      <alignment horizontal="center" vertical="center" textRotation="180"/>
    </xf>
    <xf numFmtId="0" fontId="12" fillId="0" borderId="0" xfId="0" applyFont="1"/>
    <xf numFmtId="1" fontId="2" fillId="7" borderId="4" xfId="0" applyNumberFormat="1" applyFont="1" applyFill="1" applyBorder="1" applyAlignment="1">
      <alignment horizontal="center" wrapText="1"/>
    </xf>
    <xf numFmtId="1" fontId="10" fillId="7" borderId="4" xfId="0" applyNumberFormat="1" applyFont="1" applyFill="1" applyBorder="1" applyAlignment="1">
      <alignment horizontal="center" wrapText="1"/>
    </xf>
    <xf numFmtId="1" fontId="1" fillId="5" borderId="0" xfId="0" applyNumberFormat="1" applyFont="1" applyFill="1" applyAlignment="1">
      <alignment horizontal="center" vertical="center"/>
    </xf>
    <xf numFmtId="1" fontId="11" fillId="0" borderId="4" xfId="0" applyNumberFormat="1" applyFont="1" applyBorder="1" applyAlignment="1">
      <alignment horizontal="center" wrapText="1"/>
    </xf>
    <xf numFmtId="1" fontId="8" fillId="0" borderId="4" xfId="0" applyNumberFormat="1" applyFont="1" applyBorder="1" applyAlignment="1">
      <alignment horizontal="center" wrapText="1"/>
    </xf>
    <xf numFmtId="0" fontId="10" fillId="0" borderId="2" xfId="0" applyFont="1" applyBorder="1" applyAlignment="1">
      <alignment horizont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0" xfId="0" applyAlignment="1"/>
    <xf numFmtId="0" fontId="1" fillId="0" borderId="0" xfId="0" applyFont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0" fontId="2" fillId="0" borderId="7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15" fillId="0" borderId="2" xfId="0" applyFont="1" applyBorder="1" applyAlignment="1">
      <alignment horizontal="center" wrapText="1"/>
    </xf>
    <xf numFmtId="0" fontId="15" fillId="6" borderId="4" xfId="0" applyFont="1" applyFill="1" applyBorder="1" applyAlignment="1">
      <alignment horizontal="center" wrapText="1"/>
    </xf>
    <xf numFmtId="0" fontId="15" fillId="0" borderId="4" xfId="0" applyFont="1" applyBorder="1" applyAlignment="1">
      <alignment horizontal="center" wrapText="1"/>
    </xf>
    <xf numFmtId="0" fontId="16" fillId="0" borderId="2" xfId="0" applyFont="1" applyBorder="1" applyAlignment="1">
      <alignment horizontal="center" wrapText="1"/>
    </xf>
    <xf numFmtId="1" fontId="16" fillId="7" borderId="4" xfId="0" applyNumberFormat="1" applyFont="1" applyFill="1" applyBorder="1" applyAlignment="1">
      <alignment horizontal="center" wrapText="1"/>
    </xf>
    <xf numFmtId="1" fontId="15" fillId="0" borderId="4" xfId="0" applyNumberFormat="1" applyFont="1" applyBorder="1" applyAlignment="1">
      <alignment horizontal="center" wrapText="1"/>
    </xf>
    <xf numFmtId="0" fontId="17" fillId="0" borderId="4" xfId="0" applyFont="1" applyBorder="1" applyAlignment="1">
      <alignment horizontal="center" wrapText="1"/>
    </xf>
    <xf numFmtId="0" fontId="17" fillId="6" borderId="4" xfId="0" applyFont="1" applyFill="1" applyBorder="1" applyAlignment="1">
      <alignment horizontal="center" wrapText="1"/>
    </xf>
    <xf numFmtId="1" fontId="17" fillId="0" borderId="4" xfId="0" applyNumberFormat="1" applyFont="1" applyBorder="1" applyAlignment="1">
      <alignment horizontal="center" wrapText="1"/>
    </xf>
    <xf numFmtId="1" fontId="17" fillId="7" borderId="4" xfId="0" applyNumberFormat="1" applyFont="1" applyFill="1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9" defaultPivotStyle="PivotStyleLight16"/>
  <colors>
    <mruColors>
      <color rgb="FFFFFF99"/>
      <color rgb="FFCCFFCC"/>
    </mru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plotArea>
      <c:layout>
        <c:manualLayout>
          <c:layoutTarget val="inner"/>
          <c:xMode val="edge"/>
          <c:yMode val="edge"/>
          <c:x val="5.43011101470195E-2"/>
          <c:y val="7.9103214890016996E-2"/>
          <c:w val="0.88648158810220745"/>
          <c:h val="0.833709269843808"/>
        </c:manualLayout>
      </c:layout>
      <c:scatterChart>
        <c:scatterStyle val="smoothMarker"/>
        <c:ser>
          <c:idx val="0"/>
          <c:order val="0"/>
          <c:marker>
            <c:symbol val="none"/>
          </c:marker>
          <c:xVal>
            <c:numRef>
              <c:f>'Задача 3'!$F$2:$F$52</c:f>
              <c:numCache>
                <c:formatCode>General</c:formatCode>
                <c:ptCount val="51"/>
                <c:pt idx="0">
                  <c:v>-5</c:v>
                </c:pt>
                <c:pt idx="1">
                  <c:v>-4.8</c:v>
                </c:pt>
                <c:pt idx="2">
                  <c:v>-4.5999999999999996</c:v>
                </c:pt>
                <c:pt idx="3">
                  <c:v>-4.4000000000000004</c:v>
                </c:pt>
                <c:pt idx="4">
                  <c:v>-4.2</c:v>
                </c:pt>
                <c:pt idx="5">
                  <c:v>-4</c:v>
                </c:pt>
                <c:pt idx="6">
                  <c:v>-3.8</c:v>
                </c:pt>
                <c:pt idx="7">
                  <c:v>-3.6</c:v>
                </c:pt>
                <c:pt idx="8">
                  <c:v>-3.4</c:v>
                </c:pt>
                <c:pt idx="9">
                  <c:v>-3.2</c:v>
                </c:pt>
                <c:pt idx="10">
                  <c:v>-3</c:v>
                </c:pt>
                <c:pt idx="11">
                  <c:v>-2.8</c:v>
                </c:pt>
                <c:pt idx="12">
                  <c:v>-2.6</c:v>
                </c:pt>
                <c:pt idx="13">
                  <c:v>-2.4</c:v>
                </c:pt>
                <c:pt idx="14">
                  <c:v>-2.2000000000000002</c:v>
                </c:pt>
                <c:pt idx="15">
                  <c:v>-2</c:v>
                </c:pt>
                <c:pt idx="16">
                  <c:v>-1.8</c:v>
                </c:pt>
                <c:pt idx="17">
                  <c:v>-1.6</c:v>
                </c:pt>
                <c:pt idx="18">
                  <c:v>-1.4</c:v>
                </c:pt>
                <c:pt idx="19">
                  <c:v>-1.2</c:v>
                </c:pt>
                <c:pt idx="20">
                  <c:v>-1</c:v>
                </c:pt>
                <c:pt idx="21">
                  <c:v>-0.8</c:v>
                </c:pt>
                <c:pt idx="22">
                  <c:v>-0.6</c:v>
                </c:pt>
                <c:pt idx="23">
                  <c:v>-0.4</c:v>
                </c:pt>
                <c:pt idx="24">
                  <c:v>-0.2</c:v>
                </c:pt>
                <c:pt idx="25">
                  <c:v>0</c:v>
                </c:pt>
                <c:pt idx="26">
                  <c:v>0.2</c:v>
                </c:pt>
                <c:pt idx="27">
                  <c:v>0.4</c:v>
                </c:pt>
                <c:pt idx="28">
                  <c:v>0.6</c:v>
                </c:pt>
                <c:pt idx="29">
                  <c:v>0.80000000000001004</c:v>
                </c:pt>
                <c:pt idx="30">
                  <c:v>1.00000000000001</c:v>
                </c:pt>
                <c:pt idx="31">
                  <c:v>1.2000000000000099</c:v>
                </c:pt>
                <c:pt idx="32">
                  <c:v>1.4000000000000099</c:v>
                </c:pt>
                <c:pt idx="33">
                  <c:v>1.6000000000000101</c:v>
                </c:pt>
                <c:pt idx="34">
                  <c:v>1.80000000000001</c:v>
                </c:pt>
                <c:pt idx="35">
                  <c:v>2.0000000000000102</c:v>
                </c:pt>
                <c:pt idx="36">
                  <c:v>2.2000000000000099</c:v>
                </c:pt>
                <c:pt idx="37">
                  <c:v>2.4000000000000101</c:v>
                </c:pt>
                <c:pt idx="38">
                  <c:v>2.6000000000000099</c:v>
                </c:pt>
                <c:pt idx="39">
                  <c:v>2.80000000000001</c:v>
                </c:pt>
                <c:pt idx="40">
                  <c:v>3.0000000000000102</c:v>
                </c:pt>
                <c:pt idx="41">
                  <c:v>3.2000000000000099</c:v>
                </c:pt>
                <c:pt idx="42">
                  <c:v>3.4000000000000101</c:v>
                </c:pt>
                <c:pt idx="43">
                  <c:v>3.6000000000000099</c:v>
                </c:pt>
                <c:pt idx="44">
                  <c:v>3.80000000000001</c:v>
                </c:pt>
                <c:pt idx="45">
                  <c:v>4.0000000000000098</c:v>
                </c:pt>
                <c:pt idx="46">
                  <c:v>4.2000000000000099</c:v>
                </c:pt>
                <c:pt idx="47">
                  <c:v>4.4000000000000101</c:v>
                </c:pt>
                <c:pt idx="48">
                  <c:v>4.6000000000000103</c:v>
                </c:pt>
                <c:pt idx="49">
                  <c:v>4.8000000000000096</c:v>
                </c:pt>
                <c:pt idx="50">
                  <c:v>5</c:v>
                </c:pt>
              </c:numCache>
            </c:numRef>
          </c:xVal>
          <c:yVal>
            <c:numRef>
              <c:f>'Задача 3'!$G$2:$G$52</c:f>
              <c:numCache>
                <c:formatCode>General</c:formatCode>
                <c:ptCount val="51"/>
                <c:pt idx="0">
                  <c:v>-5.2946213733156924</c:v>
                </c:pt>
                <c:pt idx="1">
                  <c:v>-5.2815901224120347</c:v>
                </c:pt>
                <c:pt idx="2">
                  <c:v>-5.0709786167139361</c:v>
                </c:pt>
                <c:pt idx="3">
                  <c:v>-4.6870491251138704</c:v>
                </c:pt>
                <c:pt idx="4">
                  <c:v>-4.1606182441370709</c:v>
                </c:pt>
                <c:pt idx="5">
                  <c:v>-3.5272099812317128</c:v>
                </c:pt>
                <c:pt idx="6">
                  <c:v>-2.8250599855823317</c:v>
                </c:pt>
                <c:pt idx="7">
                  <c:v>-2.093073595861469</c:v>
                </c:pt>
                <c:pt idx="8">
                  <c:v>-1.3688397468912261</c:v>
                </c:pt>
                <c:pt idx="9">
                  <c:v>-0.68679725896825627</c:v>
                </c:pt>
                <c:pt idx="10">
                  <c:v>-7.6639975820398387E-2</c:v>
                </c:pt>
                <c:pt idx="11">
                  <c:v>0.43796682043653423</c:v>
                </c:pt>
                <c:pt idx="12">
                  <c:v>0.84030356673580697</c:v>
                </c:pt>
                <c:pt idx="13">
                  <c:v>1.1211116333227622</c:v>
                </c:pt>
                <c:pt idx="14">
                  <c:v>1.2786920884030983</c:v>
                </c:pt>
                <c:pt idx="15">
                  <c:v>1.3185948536513634</c:v>
                </c:pt>
                <c:pt idx="16">
                  <c:v>1.2529257355807513</c:v>
                </c:pt>
                <c:pt idx="17">
                  <c:v>1.0993177648664083</c:v>
                </c:pt>
                <c:pt idx="18">
                  <c:v>0.8796296219838442</c:v>
                </c:pt>
                <c:pt idx="19">
                  <c:v>0.61844690316067141</c:v>
                </c:pt>
                <c:pt idx="20">
                  <c:v>0.3414709848078965</c:v>
                </c:pt>
                <c:pt idx="21">
                  <c:v>7.38848727196183E-2</c:v>
                </c:pt>
                <c:pt idx="22">
                  <c:v>-0.16121451596297881</c:v>
                </c:pt>
                <c:pt idx="23">
                  <c:v>-0.34423266307653977</c:v>
                </c:pt>
                <c:pt idx="24">
                  <c:v>-0.46026613384098775</c:v>
                </c:pt>
                <c:pt idx="25">
                  <c:v>-0.5</c:v>
                </c:pt>
                <c:pt idx="26">
                  <c:v>-0.46026613384098775</c:v>
                </c:pt>
                <c:pt idx="27">
                  <c:v>-0.34423266307653977</c:v>
                </c:pt>
                <c:pt idx="28">
                  <c:v>-0.16121451596297881</c:v>
                </c:pt>
                <c:pt idx="29">
                  <c:v>7.3884872719631067E-2</c:v>
                </c:pt>
                <c:pt idx="30">
                  <c:v>0.34147098480791038</c:v>
                </c:pt>
                <c:pt idx="31">
                  <c:v>0.61844690316068518</c:v>
                </c:pt>
                <c:pt idx="32">
                  <c:v>0.87962962198385619</c:v>
                </c:pt>
                <c:pt idx="33">
                  <c:v>1.0993177648664179</c:v>
                </c:pt>
                <c:pt idx="34">
                  <c:v>1.252925735580757</c:v>
                </c:pt>
                <c:pt idx="35">
                  <c:v>1.3185948536513643</c:v>
                </c:pt>
                <c:pt idx="36">
                  <c:v>1.2786920884030935</c:v>
                </c:pt>
                <c:pt idx="37">
                  <c:v>1.1211116333227511</c:v>
                </c:pt>
                <c:pt idx="38">
                  <c:v>0.84030356673579032</c:v>
                </c:pt>
                <c:pt idx="39">
                  <c:v>0.43796682043651058</c:v>
                </c:pt>
                <c:pt idx="40">
                  <c:v>-7.6639975820427253E-2</c:v>
                </c:pt>
                <c:pt idx="41">
                  <c:v>-0.68679725896828803</c:v>
                </c:pt>
                <c:pt idx="42">
                  <c:v>-1.3688397468912623</c:v>
                </c:pt>
                <c:pt idx="43">
                  <c:v>-2.0930735958615045</c:v>
                </c:pt>
                <c:pt idx="44">
                  <c:v>-2.825059985582369</c:v>
                </c:pt>
                <c:pt idx="45">
                  <c:v>-3.5272099812317461</c:v>
                </c:pt>
                <c:pt idx="46">
                  <c:v>-4.1606182441370994</c:v>
                </c:pt>
                <c:pt idx="47">
                  <c:v>-4.6870491251138935</c:v>
                </c:pt>
                <c:pt idx="48">
                  <c:v>-5.0709786167139521</c:v>
                </c:pt>
                <c:pt idx="49">
                  <c:v>-5.281590122412041</c:v>
                </c:pt>
                <c:pt idx="50">
                  <c:v>-5.2946213733156924</c:v>
                </c:pt>
              </c:numCache>
            </c:numRef>
          </c:yVal>
          <c:smooth val="1"/>
        </c:ser>
        <c:axId val="173359488"/>
        <c:axId val="173361792"/>
      </c:scatterChart>
      <c:valAx>
        <c:axId val="173359488"/>
        <c:scaling>
          <c:orientation val="minMax"/>
        </c:scaling>
        <c:axPos val="b"/>
        <c:majorGridlines>
          <c:spPr>
            <a:ln>
              <a:solidFill>
                <a:sysClr val="windowText" lastClr="000000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i="1"/>
                </a:pPr>
                <a:r>
                  <a:rPr lang="en-US" i="1"/>
                  <a:t>x</a:t>
                </a:r>
              </a:p>
            </c:rich>
          </c:tx>
          <c:layout>
            <c:manualLayout>
              <c:xMode val="edge"/>
              <c:yMode val="edge"/>
              <c:x val="0.94437811286661077"/>
              <c:y val="0.87563459688020939"/>
            </c:manualLayout>
          </c:layout>
        </c:title>
        <c:numFmt formatCode="General" sourceLinked="1"/>
        <c:majorTickMark val="none"/>
        <c:tickLblPos val="low"/>
        <c:spPr>
          <a:ln w="19050">
            <a:solidFill>
              <a:schemeClr val="tx1"/>
            </a:solidFill>
          </a:ln>
        </c:spPr>
        <c:crossAx val="173361792"/>
        <c:crosses val="autoZero"/>
        <c:crossBetween val="midCat"/>
      </c:valAx>
      <c:valAx>
        <c:axId val="173361792"/>
        <c:scaling>
          <c:orientation val="minMax"/>
        </c:scaling>
        <c:axPos val="l"/>
        <c:majorGridlines>
          <c:spPr>
            <a:ln>
              <a:solidFill>
                <a:sysClr val="windowText" lastClr="000000"/>
              </a:solidFill>
              <a:prstDash val="dash"/>
            </a:ln>
          </c:spPr>
        </c:majorGridlines>
        <c:title>
          <c:tx>
            <c:strRef>
              <c:f>'Задача 3'!$G$1</c:f>
              <c:strCache>
                <c:ptCount val="1"/>
                <c:pt idx="0">
                  <c:v>f(x)=x*sin(x)-0,5</c:v>
                </c:pt>
              </c:strCache>
            </c:strRef>
          </c:tx>
          <c:layout>
            <c:manualLayout>
              <c:xMode val="edge"/>
              <c:yMode val="edge"/>
              <c:x val="5.1493305870236898E-3"/>
              <c:y val="9.3531138556918973E-3"/>
            </c:manualLayout>
          </c:layout>
          <c:txPr>
            <a:bodyPr rot="0" vert="horz"/>
            <a:lstStyle/>
            <a:p>
              <a:pPr>
                <a:defRPr i="1"/>
              </a:pPr>
              <a:endParaRPr lang="ru-RU"/>
            </a:p>
          </c:txPr>
        </c:title>
        <c:numFmt formatCode="General" sourceLinked="1"/>
        <c:majorTickMark val="none"/>
        <c:tickLblPos val="low"/>
        <c:spPr>
          <a:ln w="19050">
            <a:solidFill>
              <a:sysClr val="windowText" lastClr="000000"/>
            </a:solidFill>
          </a:ln>
        </c:spPr>
        <c:crossAx val="173359488"/>
        <c:crosses val="autoZero"/>
        <c:crossBetween val="midCat"/>
      </c:valAx>
    </c:plotArea>
    <c:plotVisOnly val="1"/>
  </c:chart>
  <c:spPr>
    <a:ln>
      <a:noFill/>
    </a:ln>
  </c:spPr>
  <c:txPr>
    <a:bodyPr/>
    <a:lstStyle/>
    <a:p>
      <a:pPr>
        <a:defRPr sz="1400">
          <a:latin typeface="Times New Roman" pitchFamily="18" charset="0"/>
          <a:cs typeface="Times New Roman" pitchFamily="18" charset="0"/>
        </a:defRPr>
      </a:pPr>
      <a:endParaRPr lang="ru-RU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w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106600</xdr:colOff>
      <xdr:row>0</xdr:row>
      <xdr:rowOff>213360</xdr:rowOff>
    </xdr:from>
    <xdr:to>
      <xdr:col>13</xdr:col>
      <xdr:colOff>487680</xdr:colOff>
      <xdr:row>11</xdr:row>
      <xdr:rowOff>0</xdr:rowOff>
    </xdr:to>
    <xdr:pic>
      <xdr:nvPicPr>
        <xdr:cNvPr id="3073" name="Object 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9212500" y="213360"/>
          <a:ext cx="4648280" cy="2522220"/>
        </a:xfrm>
        <a:prstGeom prst="rect">
          <a:avLst/>
        </a:prstGeom>
        <a:solidFill>
          <a:srgbClr val="FFFFFF"/>
        </a:solidFill>
        <a:ln w="19050">
          <a:noFill/>
          <a:prstDash val="dash"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83820</xdr:colOff>
      <xdr:row>0</xdr:row>
      <xdr:rowOff>22860</xdr:rowOff>
    </xdr:from>
    <xdr:to>
      <xdr:col>18</xdr:col>
      <xdr:colOff>373380</xdr:colOff>
      <xdr:row>19</xdr:row>
      <xdr:rowOff>106680</xdr:rowOff>
    </xdr:to>
    <xdr:graphicFrame macro="">
      <xdr:nvGraphicFramePr>
        <xdr:cNvPr id="5" name="Диаграмма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F21"/>
  <sheetViews>
    <sheetView workbookViewId="0">
      <selection activeCell="I16" sqref="I16"/>
    </sheetView>
  </sheetViews>
  <sheetFormatPr defaultColWidth="9.109375" defaultRowHeight="18"/>
  <cols>
    <col min="1" max="1" width="9.109375" style="1"/>
    <col min="2" max="2" width="29.6640625" style="1" bestFit="1" customWidth="1"/>
    <col min="3" max="3" width="16.109375" style="1" customWidth="1"/>
    <col min="4" max="4" width="17.5546875" style="1" customWidth="1"/>
    <col min="5" max="5" width="20.44140625" style="1" customWidth="1"/>
    <col min="6" max="6" width="21.33203125" style="1" bestFit="1" customWidth="1"/>
    <col min="7" max="16384" width="9.109375" style="1"/>
  </cols>
  <sheetData>
    <row r="1" spans="2:6" ht="18.600000000000001" thickBot="1">
      <c r="B1" s="1" t="s">
        <v>9</v>
      </c>
    </row>
    <row r="2" spans="2:6" ht="31.5" customHeight="1" thickBot="1">
      <c r="B2" s="35" t="s">
        <v>0</v>
      </c>
      <c r="C2" s="37" t="s">
        <v>8</v>
      </c>
      <c r="D2" s="38"/>
      <c r="E2" s="35" t="s">
        <v>1</v>
      </c>
    </row>
    <row r="3" spans="2:6" ht="18.600000000000001" thickBot="1">
      <c r="B3" s="36"/>
      <c r="C3" s="2" t="s">
        <v>2</v>
      </c>
      <c r="D3" s="2" t="s">
        <v>3</v>
      </c>
      <c r="E3" s="36"/>
    </row>
    <row r="4" spans="2:6" ht="18.600000000000001" thickBot="1">
      <c r="B4" s="3" t="s">
        <v>4</v>
      </c>
      <c r="C4" s="2">
        <v>1</v>
      </c>
      <c r="D4" s="2">
        <v>2</v>
      </c>
      <c r="E4" s="2">
        <v>6</v>
      </c>
    </row>
    <row r="5" spans="2:6" ht="18.600000000000001" thickBot="1">
      <c r="B5" s="3" t="s">
        <v>5</v>
      </c>
      <c r="C5" s="2">
        <v>2</v>
      </c>
      <c r="D5" s="2">
        <v>3</v>
      </c>
      <c r="E5" s="2">
        <v>12</v>
      </c>
    </row>
    <row r="6" spans="2:6" ht="18.600000000000001" thickBot="1">
      <c r="B6" s="3" t="s">
        <v>6</v>
      </c>
      <c r="C6" s="2">
        <v>2</v>
      </c>
      <c r="D6" s="2">
        <v>3</v>
      </c>
      <c r="E6" s="2" t="s">
        <v>7</v>
      </c>
    </row>
    <row r="8" spans="2:6">
      <c r="B8" s="1" t="s">
        <v>10</v>
      </c>
      <c r="D8" s="1" t="s">
        <v>15</v>
      </c>
      <c r="F8" s="1" t="s">
        <v>19</v>
      </c>
    </row>
    <row r="9" spans="2:6">
      <c r="B9" s="8">
        <f>C4*$C$14+D4*$D$14</f>
        <v>6</v>
      </c>
      <c r="C9" s="5" t="s">
        <v>14</v>
      </c>
      <c r="D9" s="8">
        <f>E4</f>
        <v>6</v>
      </c>
      <c r="F9" s="10">
        <f>C6*C14+D6*D14</f>
        <v>11</v>
      </c>
    </row>
    <row r="10" spans="2:6">
      <c r="B10" s="8">
        <f>C5*$C$14+D5*$D$14</f>
        <v>11</v>
      </c>
      <c r="C10" s="5" t="s">
        <v>14</v>
      </c>
      <c r="D10" s="8">
        <f>E5</f>
        <v>12</v>
      </c>
    </row>
    <row r="12" spans="2:6">
      <c r="C12" s="39" t="s">
        <v>11</v>
      </c>
      <c r="D12" s="39"/>
    </row>
    <row r="13" spans="2:6">
      <c r="C13" s="6" t="s">
        <v>12</v>
      </c>
      <c r="D13" s="6" t="s">
        <v>13</v>
      </c>
    </row>
    <row r="14" spans="2:6">
      <c r="C14" s="7">
        <v>4</v>
      </c>
      <c r="D14" s="7">
        <v>0.99999999999999978</v>
      </c>
    </row>
    <row r="16" spans="2:6">
      <c r="B16" s="1" t="s">
        <v>16</v>
      </c>
    </row>
    <row r="17" spans="2:4">
      <c r="B17" s="9" t="s">
        <v>12</v>
      </c>
      <c r="C17" s="5" t="s">
        <v>17</v>
      </c>
      <c r="D17" s="9">
        <v>0</v>
      </c>
    </row>
    <row r="18" spans="2:4">
      <c r="B18" s="9" t="s">
        <v>13</v>
      </c>
      <c r="C18" s="5" t="s">
        <v>17</v>
      </c>
      <c r="D18" s="9">
        <v>0</v>
      </c>
    </row>
    <row r="19" spans="2:4">
      <c r="B19" s="9" t="s">
        <v>12</v>
      </c>
      <c r="C19" s="4" t="s">
        <v>14</v>
      </c>
      <c r="D19" s="9">
        <v>4</v>
      </c>
    </row>
    <row r="20" spans="2:4">
      <c r="B20" s="9" t="s">
        <v>12</v>
      </c>
      <c r="C20" s="4" t="s">
        <v>18</v>
      </c>
    </row>
    <row r="21" spans="2:4">
      <c r="B21" s="9" t="s">
        <v>13</v>
      </c>
      <c r="C21" s="4" t="s">
        <v>18</v>
      </c>
    </row>
  </sheetData>
  <mergeCells count="4">
    <mergeCell ref="B2:B3"/>
    <mergeCell ref="C2:D2"/>
    <mergeCell ref="E2:E3"/>
    <mergeCell ref="C12:D12"/>
  </mergeCells>
  <pageMargins left="0.7" right="0.7" top="0.75" bottom="0.75" header="0.3" footer="0.3"/>
  <pageSetup paperSize="9" orientation="portrait" r:id="rId1"/>
  <legacyDrawing r:id="rId2"/>
  <oleObjects>
    <oleObject progId="Equation.DSMT4" shapeId="2049" r:id="rId3"/>
  </oleObjects>
</worksheet>
</file>

<file path=xl/worksheets/sheet2.xml><?xml version="1.0" encoding="utf-8"?>
<worksheet xmlns="http://schemas.openxmlformats.org/spreadsheetml/2006/main" xmlns:r="http://schemas.openxmlformats.org/officeDocument/2006/relationships">
  <dimension ref="B1:F17"/>
  <sheetViews>
    <sheetView workbookViewId="0">
      <selection activeCell="K19" sqref="K19"/>
    </sheetView>
  </sheetViews>
  <sheetFormatPr defaultRowHeight="18"/>
  <cols>
    <col min="1" max="1" width="8.88671875" style="1"/>
    <col min="2" max="2" width="46.77734375" style="1" bestFit="1" customWidth="1"/>
    <col min="3" max="3" width="16.33203125" style="1" customWidth="1"/>
    <col min="4" max="4" width="15.5546875" style="1" customWidth="1"/>
    <col min="5" max="5" width="18.33203125" style="1" customWidth="1"/>
    <col min="6" max="6" width="26.88671875" style="1" customWidth="1"/>
    <col min="7" max="16384" width="8.88671875" style="1"/>
  </cols>
  <sheetData>
    <row r="1" spans="2:6">
      <c r="B1" s="1" t="s">
        <v>9</v>
      </c>
    </row>
    <row r="2" spans="2:6" ht="32.4" customHeight="1">
      <c r="B2" s="12" t="s">
        <v>20</v>
      </c>
      <c r="C2" s="12" t="s">
        <v>21</v>
      </c>
      <c r="D2" s="12" t="s">
        <v>22</v>
      </c>
      <c r="E2" s="12" t="s">
        <v>23</v>
      </c>
      <c r="F2" s="13" t="s">
        <v>27</v>
      </c>
    </row>
    <row r="3" spans="2:6">
      <c r="B3" s="12" t="s">
        <v>24</v>
      </c>
      <c r="C3" s="12">
        <v>1</v>
      </c>
      <c r="D3" s="12">
        <v>0.5</v>
      </c>
      <c r="E3" s="12">
        <v>0.2</v>
      </c>
      <c r="F3" s="12" t="s">
        <v>29</v>
      </c>
    </row>
    <row r="4" spans="2:6">
      <c r="B4" s="12" t="s">
        <v>25</v>
      </c>
      <c r="C4" s="12">
        <v>160</v>
      </c>
      <c r="D4" s="12">
        <v>60</v>
      </c>
      <c r="E4" s="12">
        <v>30</v>
      </c>
      <c r="F4" s="12" t="s">
        <v>30</v>
      </c>
    </row>
    <row r="5" spans="2:6" ht="21" customHeight="1">
      <c r="B5" s="12" t="s">
        <v>26</v>
      </c>
      <c r="C5" s="14">
        <v>4.2</v>
      </c>
      <c r="D5" s="14">
        <v>0.9</v>
      </c>
      <c r="E5" s="14">
        <v>0.6</v>
      </c>
      <c r="F5" s="11" t="s">
        <v>28</v>
      </c>
    </row>
    <row r="7" spans="2:6">
      <c r="B7" s="1" t="s">
        <v>10</v>
      </c>
      <c r="D7" s="1" t="s">
        <v>15</v>
      </c>
      <c r="F7" s="5" t="s">
        <v>19</v>
      </c>
    </row>
    <row r="8" spans="2:6">
      <c r="B8" s="8">
        <f>SUMPRODUCT(C3:E3,$C$15:$E$15)</f>
        <v>16.2</v>
      </c>
      <c r="C8" s="4" t="s">
        <v>17</v>
      </c>
      <c r="D8" s="8">
        <f>16.1</f>
        <v>16.100000000000001</v>
      </c>
      <c r="F8" s="17">
        <f>SUMPRODUCT(C5:E5,C15:E15)</f>
        <v>49.8</v>
      </c>
    </row>
    <row r="9" spans="2:6">
      <c r="B9" s="8">
        <f>SUMPRODUCT(C4:E4,$C$15:$E$15)</f>
        <v>2360</v>
      </c>
      <c r="C9" s="4" t="s">
        <v>17</v>
      </c>
      <c r="D9" s="8">
        <v>1816</v>
      </c>
    </row>
    <row r="10" spans="2:6">
      <c r="B10" s="8">
        <f>C3*C15</f>
        <v>5</v>
      </c>
      <c r="C10" s="4" t="s">
        <v>17</v>
      </c>
      <c r="D10" s="8">
        <f>0.31*D8</f>
        <v>4.9910000000000005</v>
      </c>
    </row>
    <row r="11" spans="2:6">
      <c r="B11" s="8">
        <f>D3*D15</f>
        <v>4</v>
      </c>
      <c r="C11" s="4" t="s">
        <v>14</v>
      </c>
      <c r="D11" s="8">
        <f>0.26*D8</f>
        <v>4.1860000000000008</v>
      </c>
    </row>
    <row r="13" spans="2:6">
      <c r="C13" s="39" t="s">
        <v>11</v>
      </c>
      <c r="D13" s="39"/>
      <c r="E13" s="40"/>
    </row>
    <row r="14" spans="2:6">
      <c r="C14" s="6" t="s">
        <v>12</v>
      </c>
      <c r="D14" s="6" t="s">
        <v>13</v>
      </c>
      <c r="E14" s="6" t="s">
        <v>31</v>
      </c>
    </row>
    <row r="15" spans="2:6">
      <c r="C15" s="7">
        <v>5</v>
      </c>
      <c r="D15" s="7">
        <v>8</v>
      </c>
      <c r="E15" s="7">
        <v>36</v>
      </c>
    </row>
    <row r="16" spans="2:6">
      <c r="B16" s="41" t="s">
        <v>32</v>
      </c>
      <c r="C16" s="16" t="s">
        <v>33</v>
      </c>
      <c r="D16" s="16" t="s">
        <v>33</v>
      </c>
      <c r="E16" s="16" t="s">
        <v>33</v>
      </c>
    </row>
    <row r="17" spans="2:5">
      <c r="B17" s="41"/>
      <c r="C17" s="16" t="s">
        <v>18</v>
      </c>
      <c r="D17" s="16" t="s">
        <v>18</v>
      </c>
      <c r="E17" s="16" t="s">
        <v>18</v>
      </c>
    </row>
  </sheetData>
  <mergeCells count="2">
    <mergeCell ref="C13:E13"/>
    <mergeCell ref="B16:B17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G52"/>
  <sheetViews>
    <sheetView workbookViewId="0">
      <selection activeCell="D19" sqref="D19"/>
    </sheetView>
  </sheetViews>
  <sheetFormatPr defaultRowHeight="18"/>
  <cols>
    <col min="1" max="1" width="21.109375" style="1" bestFit="1" customWidth="1"/>
    <col min="2" max="2" width="19.109375" style="1" bestFit="1" customWidth="1"/>
    <col min="3" max="6" width="8.88671875" style="1"/>
    <col min="7" max="7" width="19.109375" style="1" bestFit="1" customWidth="1"/>
    <col min="8" max="16384" width="8.88671875" style="1"/>
  </cols>
  <sheetData>
    <row r="1" spans="1:7">
      <c r="A1" s="5" t="s">
        <v>34</v>
      </c>
      <c r="B1" s="1" t="s">
        <v>35</v>
      </c>
      <c r="F1" s="1" t="s">
        <v>34</v>
      </c>
      <c r="G1" s="1" t="s">
        <v>35</v>
      </c>
    </row>
    <row r="2" spans="1:7">
      <c r="A2" s="18">
        <v>2.9725854903820697</v>
      </c>
      <c r="B2" s="1">
        <f>A2*SIN(A2)-0.5</f>
        <v>8.0224715759413812E-13</v>
      </c>
      <c r="F2" s="1">
        <v>-5</v>
      </c>
      <c r="G2" s="1">
        <f>F2*SIN(F2)-0.5</f>
        <v>-5.2946213733156924</v>
      </c>
    </row>
    <row r="3" spans="1:7">
      <c r="F3" s="1">
        <v>-4.8</v>
      </c>
      <c r="G3" s="1">
        <f>F3*SIN(F3)-0.5</f>
        <v>-5.2815901224120347</v>
      </c>
    </row>
    <row r="4" spans="1:7">
      <c r="F4" s="1">
        <v>-4.5999999999999996</v>
      </c>
      <c r="G4" s="1">
        <f t="shared" ref="G4:G52" si="0">F4*SIN(F4)-0.5</f>
        <v>-5.0709786167139361</v>
      </c>
    </row>
    <row r="5" spans="1:7">
      <c r="F5" s="1">
        <v>-4.4000000000000004</v>
      </c>
      <c r="G5" s="1">
        <f t="shared" si="0"/>
        <v>-4.6870491251138704</v>
      </c>
    </row>
    <row r="6" spans="1:7">
      <c r="F6" s="1">
        <v>-4.2</v>
      </c>
      <c r="G6" s="1">
        <f t="shared" si="0"/>
        <v>-4.1606182441370709</v>
      </c>
    </row>
    <row r="7" spans="1:7">
      <c r="F7" s="1">
        <v>-4</v>
      </c>
      <c r="G7" s="1">
        <f t="shared" si="0"/>
        <v>-3.5272099812317128</v>
      </c>
    </row>
    <row r="8" spans="1:7">
      <c r="F8" s="1">
        <v>-3.8</v>
      </c>
      <c r="G8" s="1">
        <f t="shared" si="0"/>
        <v>-2.8250599855823317</v>
      </c>
    </row>
    <row r="9" spans="1:7">
      <c r="F9" s="1">
        <v>-3.6</v>
      </c>
      <c r="G9" s="1">
        <f t="shared" si="0"/>
        <v>-2.093073595861469</v>
      </c>
    </row>
    <row r="10" spans="1:7">
      <c r="F10" s="1">
        <v>-3.4</v>
      </c>
      <c r="G10" s="1">
        <f t="shared" si="0"/>
        <v>-1.3688397468912261</v>
      </c>
    </row>
    <row r="11" spans="1:7">
      <c r="F11" s="1">
        <v>-3.2</v>
      </c>
      <c r="G11" s="1">
        <f t="shared" si="0"/>
        <v>-0.68679725896825627</v>
      </c>
    </row>
    <row r="12" spans="1:7">
      <c r="F12" s="1">
        <v>-3</v>
      </c>
      <c r="G12" s="1">
        <f t="shared" si="0"/>
        <v>-7.6639975820398387E-2</v>
      </c>
    </row>
    <row r="13" spans="1:7">
      <c r="F13" s="1">
        <v>-2.8</v>
      </c>
      <c r="G13" s="1">
        <f t="shared" si="0"/>
        <v>0.43796682043653423</v>
      </c>
    </row>
    <row r="14" spans="1:7">
      <c r="F14" s="1">
        <v>-2.6</v>
      </c>
      <c r="G14" s="1">
        <f t="shared" si="0"/>
        <v>0.84030356673580697</v>
      </c>
    </row>
    <row r="15" spans="1:7">
      <c r="F15" s="1">
        <v>-2.4</v>
      </c>
      <c r="G15" s="1">
        <f t="shared" si="0"/>
        <v>1.1211116333227622</v>
      </c>
    </row>
    <row r="16" spans="1:7">
      <c r="F16" s="1">
        <v>-2.2000000000000002</v>
      </c>
      <c r="G16" s="1">
        <f t="shared" si="0"/>
        <v>1.2786920884030983</v>
      </c>
    </row>
    <row r="17" spans="6:7">
      <c r="F17" s="1">
        <v>-2</v>
      </c>
      <c r="G17" s="1">
        <f t="shared" si="0"/>
        <v>1.3185948536513634</v>
      </c>
    </row>
    <row r="18" spans="6:7">
      <c r="F18" s="1">
        <v>-1.8</v>
      </c>
      <c r="G18" s="1">
        <f t="shared" si="0"/>
        <v>1.2529257355807513</v>
      </c>
    </row>
    <row r="19" spans="6:7">
      <c r="F19" s="1">
        <v>-1.6</v>
      </c>
      <c r="G19" s="1">
        <f t="shared" si="0"/>
        <v>1.0993177648664083</v>
      </c>
    </row>
    <row r="20" spans="6:7">
      <c r="F20" s="1">
        <v>-1.4</v>
      </c>
      <c r="G20" s="1">
        <f t="shared" si="0"/>
        <v>0.8796296219838442</v>
      </c>
    </row>
    <row r="21" spans="6:7">
      <c r="F21" s="1">
        <v>-1.2</v>
      </c>
      <c r="G21" s="1">
        <f t="shared" si="0"/>
        <v>0.61844690316067141</v>
      </c>
    </row>
    <row r="22" spans="6:7">
      <c r="F22" s="1">
        <v>-1</v>
      </c>
      <c r="G22" s="1">
        <f t="shared" si="0"/>
        <v>0.3414709848078965</v>
      </c>
    </row>
    <row r="23" spans="6:7">
      <c r="F23" s="1">
        <v>-0.8</v>
      </c>
      <c r="G23" s="1">
        <f t="shared" si="0"/>
        <v>7.38848727196183E-2</v>
      </c>
    </row>
    <row r="24" spans="6:7">
      <c r="F24" s="1">
        <v>-0.6</v>
      </c>
      <c r="G24" s="1">
        <f t="shared" si="0"/>
        <v>-0.16121451596297881</v>
      </c>
    </row>
    <row r="25" spans="6:7">
      <c r="F25" s="1">
        <v>-0.4</v>
      </c>
      <c r="G25" s="1">
        <f t="shared" si="0"/>
        <v>-0.34423266307653977</v>
      </c>
    </row>
    <row r="26" spans="6:7">
      <c r="F26" s="1">
        <v>-0.2</v>
      </c>
      <c r="G26" s="1">
        <f t="shared" si="0"/>
        <v>-0.46026613384098775</v>
      </c>
    </row>
    <row r="27" spans="6:7">
      <c r="F27" s="1">
        <v>0</v>
      </c>
      <c r="G27" s="1">
        <f t="shared" si="0"/>
        <v>-0.5</v>
      </c>
    </row>
    <row r="28" spans="6:7">
      <c r="F28" s="1">
        <v>0.2</v>
      </c>
      <c r="G28" s="1">
        <f t="shared" si="0"/>
        <v>-0.46026613384098775</v>
      </c>
    </row>
    <row r="29" spans="6:7">
      <c r="F29" s="1">
        <v>0.4</v>
      </c>
      <c r="G29" s="1">
        <f t="shared" si="0"/>
        <v>-0.34423266307653977</v>
      </c>
    </row>
    <row r="30" spans="6:7">
      <c r="F30" s="1">
        <v>0.6</v>
      </c>
      <c r="G30" s="1">
        <f t="shared" si="0"/>
        <v>-0.16121451596297881</v>
      </c>
    </row>
    <row r="31" spans="6:7">
      <c r="F31" s="1">
        <v>0.80000000000001004</v>
      </c>
      <c r="G31" s="1">
        <f t="shared" si="0"/>
        <v>7.3884872719631067E-2</v>
      </c>
    </row>
    <row r="32" spans="6:7">
      <c r="F32" s="1">
        <v>1.00000000000001</v>
      </c>
      <c r="G32" s="1">
        <f t="shared" si="0"/>
        <v>0.34147098480791038</v>
      </c>
    </row>
    <row r="33" spans="6:7">
      <c r="F33" s="1">
        <v>1.2000000000000099</v>
      </c>
      <c r="G33" s="1">
        <f t="shared" si="0"/>
        <v>0.61844690316068518</v>
      </c>
    </row>
    <row r="34" spans="6:7">
      <c r="F34" s="1">
        <v>1.4000000000000099</v>
      </c>
      <c r="G34" s="1">
        <f t="shared" si="0"/>
        <v>0.87962962198385619</v>
      </c>
    </row>
    <row r="35" spans="6:7">
      <c r="F35" s="1">
        <v>1.6000000000000101</v>
      </c>
      <c r="G35" s="1">
        <f t="shared" si="0"/>
        <v>1.0993177648664179</v>
      </c>
    </row>
    <row r="36" spans="6:7">
      <c r="F36" s="1">
        <v>1.80000000000001</v>
      </c>
      <c r="G36" s="1">
        <f t="shared" si="0"/>
        <v>1.252925735580757</v>
      </c>
    </row>
    <row r="37" spans="6:7">
      <c r="F37" s="1">
        <v>2.0000000000000102</v>
      </c>
      <c r="G37" s="1">
        <f t="shared" si="0"/>
        <v>1.3185948536513643</v>
      </c>
    </row>
    <row r="38" spans="6:7">
      <c r="F38" s="1">
        <v>2.2000000000000099</v>
      </c>
      <c r="G38" s="1">
        <f t="shared" si="0"/>
        <v>1.2786920884030935</v>
      </c>
    </row>
    <row r="39" spans="6:7">
      <c r="F39" s="1">
        <v>2.4000000000000101</v>
      </c>
      <c r="G39" s="1">
        <f t="shared" si="0"/>
        <v>1.1211116333227511</v>
      </c>
    </row>
    <row r="40" spans="6:7">
      <c r="F40" s="1">
        <v>2.6000000000000099</v>
      </c>
      <c r="G40" s="1">
        <f t="shared" si="0"/>
        <v>0.84030356673579032</v>
      </c>
    </row>
    <row r="41" spans="6:7">
      <c r="F41" s="1">
        <v>2.80000000000001</v>
      </c>
      <c r="G41" s="1">
        <f t="shared" si="0"/>
        <v>0.43796682043651058</v>
      </c>
    </row>
    <row r="42" spans="6:7">
      <c r="F42" s="1">
        <v>3.0000000000000102</v>
      </c>
      <c r="G42" s="1">
        <f t="shared" si="0"/>
        <v>-7.6639975820427253E-2</v>
      </c>
    </row>
    <row r="43" spans="6:7">
      <c r="F43" s="1">
        <v>3.2000000000000099</v>
      </c>
      <c r="G43" s="1">
        <f t="shared" si="0"/>
        <v>-0.68679725896828803</v>
      </c>
    </row>
    <row r="44" spans="6:7">
      <c r="F44" s="1">
        <v>3.4000000000000101</v>
      </c>
      <c r="G44" s="1">
        <f t="shared" si="0"/>
        <v>-1.3688397468912623</v>
      </c>
    </row>
    <row r="45" spans="6:7">
      <c r="F45" s="1">
        <v>3.6000000000000099</v>
      </c>
      <c r="G45" s="1">
        <f t="shared" si="0"/>
        <v>-2.0930735958615045</v>
      </c>
    </row>
    <row r="46" spans="6:7">
      <c r="F46" s="1">
        <v>3.80000000000001</v>
      </c>
      <c r="G46" s="1">
        <f t="shared" si="0"/>
        <v>-2.825059985582369</v>
      </c>
    </row>
    <row r="47" spans="6:7">
      <c r="F47" s="1">
        <v>4.0000000000000098</v>
      </c>
      <c r="G47" s="1">
        <f t="shared" si="0"/>
        <v>-3.5272099812317461</v>
      </c>
    </row>
    <row r="48" spans="6:7">
      <c r="F48" s="1">
        <v>4.2000000000000099</v>
      </c>
      <c r="G48" s="1">
        <f t="shared" si="0"/>
        <v>-4.1606182441370994</v>
      </c>
    </row>
    <row r="49" spans="6:7">
      <c r="F49" s="1">
        <v>4.4000000000000101</v>
      </c>
      <c r="G49" s="1">
        <f t="shared" si="0"/>
        <v>-4.6870491251138935</v>
      </c>
    </row>
    <row r="50" spans="6:7">
      <c r="F50" s="1">
        <v>4.6000000000000103</v>
      </c>
      <c r="G50" s="1">
        <f t="shared" si="0"/>
        <v>-5.0709786167139521</v>
      </c>
    </row>
    <row r="51" spans="6:7">
      <c r="F51" s="1">
        <v>4.8000000000000096</v>
      </c>
      <c r="G51" s="1">
        <f t="shared" si="0"/>
        <v>-5.281590122412041</v>
      </c>
    </row>
    <row r="52" spans="6:7">
      <c r="F52" s="1">
        <v>5</v>
      </c>
      <c r="G52" s="1">
        <f t="shared" si="0"/>
        <v>-5.2946213733156924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B1:Q11"/>
  <sheetViews>
    <sheetView tabSelected="1" zoomScaleNormal="100" workbookViewId="0">
      <selection activeCell="O9" sqref="O9"/>
    </sheetView>
  </sheetViews>
  <sheetFormatPr defaultRowHeight="18"/>
  <cols>
    <col min="1" max="1" width="2.33203125" style="1" customWidth="1"/>
    <col min="2" max="2" width="13" style="1" customWidth="1"/>
    <col min="3" max="6" width="8.88671875" style="1"/>
    <col min="7" max="7" width="8.21875" style="1" customWidth="1"/>
    <col min="8" max="8" width="2.77734375" style="1" customWidth="1"/>
    <col min="9" max="9" width="18.33203125" style="1" customWidth="1"/>
    <col min="10" max="10" width="10.77734375" style="1" customWidth="1"/>
    <col min="11" max="11" width="10.88671875" style="1" customWidth="1"/>
    <col min="12" max="12" width="11.109375" style="1" customWidth="1"/>
    <col min="13" max="13" width="10.88671875" style="1" customWidth="1"/>
    <col min="14" max="14" width="14" style="1" customWidth="1"/>
    <col min="15" max="15" width="23.77734375" style="1" bestFit="1" customWidth="1"/>
    <col min="16" max="16" width="2.88671875" style="1" customWidth="1"/>
    <col min="17" max="17" width="41.6640625" style="1" customWidth="1"/>
    <col min="18" max="16384" width="8.88671875" style="1"/>
  </cols>
  <sheetData>
    <row r="1" spans="2:17" ht="18.600000000000001" thickBot="1">
      <c r="B1" s="42" t="s">
        <v>55</v>
      </c>
      <c r="C1" s="42"/>
      <c r="D1" s="42"/>
      <c r="E1" s="42"/>
      <c r="F1" s="42"/>
      <c r="G1" s="42"/>
      <c r="I1" s="43" t="s">
        <v>56</v>
      </c>
      <c r="J1" s="43"/>
      <c r="K1" s="43"/>
      <c r="L1" s="43"/>
      <c r="M1" s="43"/>
      <c r="N1" s="43"/>
    </row>
    <row r="2" spans="2:17" ht="28.8" customHeight="1" thickBot="1">
      <c r="B2" s="44" t="s">
        <v>36</v>
      </c>
      <c r="C2" s="46" t="s">
        <v>37</v>
      </c>
      <c r="D2" s="47"/>
      <c r="E2" s="47"/>
      <c r="F2" s="48"/>
      <c r="G2" s="44" t="s">
        <v>38</v>
      </c>
      <c r="I2" s="44" t="s">
        <v>36</v>
      </c>
      <c r="J2" s="46" t="s">
        <v>37</v>
      </c>
      <c r="K2" s="47"/>
      <c r="L2" s="47"/>
      <c r="M2" s="48"/>
      <c r="N2" s="44" t="s">
        <v>38</v>
      </c>
      <c r="Q2" s="5" t="s">
        <v>57</v>
      </c>
    </row>
    <row r="3" spans="2:17" ht="18.600000000000001" thickBot="1">
      <c r="B3" s="45"/>
      <c r="C3" s="19">
        <v>1</v>
      </c>
      <c r="D3" s="19">
        <v>2</v>
      </c>
      <c r="E3" s="19">
        <v>3</v>
      </c>
      <c r="F3" s="19">
        <v>4</v>
      </c>
      <c r="G3" s="45"/>
      <c r="I3" s="45"/>
      <c r="J3" s="19">
        <v>1</v>
      </c>
      <c r="K3" s="19">
        <v>2</v>
      </c>
      <c r="L3" s="19">
        <v>3</v>
      </c>
      <c r="M3" s="19">
        <v>4</v>
      </c>
      <c r="N3" s="45"/>
      <c r="Q3" s="31">
        <f>SUMPRODUCT(C4:F7,J4:M7)</f>
        <v>284.999999</v>
      </c>
    </row>
    <row r="4" spans="2:17" ht="18.600000000000001" thickBot="1">
      <c r="B4" s="20" t="s">
        <v>39</v>
      </c>
      <c r="C4" s="24">
        <v>9</v>
      </c>
      <c r="D4" s="24">
        <v>2</v>
      </c>
      <c r="E4" s="24">
        <v>5</v>
      </c>
      <c r="F4" s="24">
        <v>2</v>
      </c>
      <c r="G4" s="23">
        <v>65</v>
      </c>
      <c r="I4" s="20" t="s">
        <v>39</v>
      </c>
      <c r="J4" s="29">
        <v>0</v>
      </c>
      <c r="K4" s="29">
        <v>0</v>
      </c>
      <c r="L4" s="30">
        <v>0</v>
      </c>
      <c r="M4" s="29">
        <v>65</v>
      </c>
      <c r="N4" s="33">
        <f>SUM(J4:M4)</f>
        <v>65</v>
      </c>
      <c r="O4" s="28" t="s">
        <v>47</v>
      </c>
      <c r="Q4" s="28" t="s">
        <v>46</v>
      </c>
    </row>
    <row r="5" spans="2:17" ht="18.600000000000001" customHeight="1" thickBot="1">
      <c r="B5" s="20" t="s">
        <v>40</v>
      </c>
      <c r="C5" s="24">
        <v>2</v>
      </c>
      <c r="D5" s="24">
        <v>4</v>
      </c>
      <c r="E5" s="24">
        <v>6</v>
      </c>
      <c r="F5" s="24">
        <v>1</v>
      </c>
      <c r="G5" s="23">
        <v>20</v>
      </c>
      <c r="I5" s="20" t="s">
        <v>40</v>
      </c>
      <c r="J5" s="29">
        <v>19.999999488079066</v>
      </c>
      <c r="K5" s="29">
        <v>5.0000000140215661E-7</v>
      </c>
      <c r="L5" s="30">
        <v>0</v>
      </c>
      <c r="M5" s="29">
        <v>1.1920928955078126E-8</v>
      </c>
      <c r="N5" s="33">
        <f>SUM(J5:M5)</f>
        <v>19.999999999999996</v>
      </c>
      <c r="O5" s="28" t="s">
        <v>48</v>
      </c>
    </row>
    <row r="6" spans="2:17" ht="18.600000000000001" thickBot="1">
      <c r="B6" s="20" t="s">
        <v>41</v>
      </c>
      <c r="C6" s="24">
        <v>3</v>
      </c>
      <c r="D6" s="24">
        <v>1</v>
      </c>
      <c r="E6" s="24">
        <v>5</v>
      </c>
      <c r="F6" s="24">
        <v>2</v>
      </c>
      <c r="G6" s="23">
        <v>60</v>
      </c>
      <c r="I6" s="34" t="s">
        <v>41</v>
      </c>
      <c r="J6" s="30">
        <v>9.999999511920949</v>
      </c>
      <c r="K6" s="30">
        <v>29.999999499999991</v>
      </c>
      <c r="L6" s="30">
        <v>5</v>
      </c>
      <c r="M6" s="30">
        <v>14.999999988079066</v>
      </c>
      <c r="N6" s="32">
        <f>SUM(J6:M6)</f>
        <v>59.99999900000001</v>
      </c>
      <c r="O6" s="28" t="s">
        <v>49</v>
      </c>
    </row>
    <row r="7" spans="2:17" ht="18.600000000000001" thickBot="1">
      <c r="B7" s="49" t="s">
        <v>42</v>
      </c>
      <c r="C7" s="50">
        <v>0</v>
      </c>
      <c r="D7" s="50">
        <v>0</v>
      </c>
      <c r="E7" s="50">
        <v>0</v>
      </c>
      <c r="F7" s="50">
        <v>0</v>
      </c>
      <c r="G7" s="51">
        <v>45</v>
      </c>
      <c r="I7" s="52" t="s">
        <v>42</v>
      </c>
      <c r="J7" s="53">
        <v>9.9999996866495522E-7</v>
      </c>
      <c r="K7" s="53">
        <v>0</v>
      </c>
      <c r="L7" s="53">
        <v>44.999999000000024</v>
      </c>
      <c r="M7" s="53">
        <v>0</v>
      </c>
      <c r="N7" s="54">
        <f>SUM(J7:M7)</f>
        <v>44.999999999999993</v>
      </c>
      <c r="O7" s="28" t="s">
        <v>50</v>
      </c>
    </row>
    <row r="8" spans="2:17" ht="19.2" thickBot="1">
      <c r="B8" s="20" t="s">
        <v>43</v>
      </c>
      <c r="C8" s="22">
        <v>30</v>
      </c>
      <c r="D8" s="22">
        <v>30</v>
      </c>
      <c r="E8" s="22">
        <v>50</v>
      </c>
      <c r="F8" s="22">
        <v>80</v>
      </c>
      <c r="G8" s="19"/>
      <c r="I8" s="20" t="s">
        <v>43</v>
      </c>
      <c r="J8" s="32">
        <f>SUM(J4:J7)</f>
        <v>29.999999999999986</v>
      </c>
      <c r="K8" s="32">
        <f>SUM(K4:K7)</f>
        <v>29.999999999999993</v>
      </c>
      <c r="L8" s="32">
        <f>SUM(L4:L7)</f>
        <v>49.999999000000024</v>
      </c>
      <c r="M8" s="32">
        <f>SUM(M4:M7)</f>
        <v>80</v>
      </c>
      <c r="N8" s="19"/>
    </row>
    <row r="9" spans="2:17" ht="133.80000000000001">
      <c r="J9" s="27" t="s">
        <v>54</v>
      </c>
      <c r="K9" s="27" t="s">
        <v>51</v>
      </c>
      <c r="L9" s="27" t="s">
        <v>52</v>
      </c>
      <c r="M9" s="27" t="s">
        <v>53</v>
      </c>
    </row>
    <row r="10" spans="2:17">
      <c r="B10" s="25"/>
      <c r="C10" s="1" t="s">
        <v>44</v>
      </c>
    </row>
    <row r="11" spans="2:17">
      <c r="B11" s="26"/>
      <c r="C11" s="1" t="s">
        <v>45</v>
      </c>
    </row>
  </sheetData>
  <mergeCells count="8">
    <mergeCell ref="B1:G1"/>
    <mergeCell ref="I1:N1"/>
    <mergeCell ref="B2:B3"/>
    <mergeCell ref="C2:F2"/>
    <mergeCell ref="G2:G3"/>
    <mergeCell ref="I2:I3"/>
    <mergeCell ref="J2:M2"/>
    <mergeCell ref="N2:N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B1:Q11"/>
  <sheetViews>
    <sheetView workbookViewId="0">
      <selection activeCell="G8" sqref="G8"/>
    </sheetView>
  </sheetViews>
  <sheetFormatPr defaultRowHeight="18"/>
  <cols>
    <col min="1" max="1" width="2.33203125" style="1" customWidth="1"/>
    <col min="2" max="2" width="13" style="1" customWidth="1"/>
    <col min="3" max="6" width="8.88671875" style="1"/>
    <col min="7" max="7" width="8.21875" style="1" customWidth="1"/>
    <col min="8" max="8" width="2.77734375" style="1" customWidth="1"/>
    <col min="9" max="9" width="18.33203125" style="1" customWidth="1"/>
    <col min="10" max="10" width="10.77734375" style="1" customWidth="1"/>
    <col min="11" max="11" width="10.88671875" style="1" customWidth="1"/>
    <col min="12" max="12" width="11.109375" style="1" customWidth="1"/>
    <col min="13" max="13" width="10.88671875" style="1" customWidth="1"/>
    <col min="14" max="14" width="14" style="1" customWidth="1"/>
    <col min="15" max="15" width="23.77734375" style="1" bestFit="1" customWidth="1"/>
    <col min="16" max="16" width="2.88671875" style="1" customWidth="1"/>
    <col min="17" max="17" width="41.6640625" style="1" customWidth="1"/>
    <col min="18" max="16384" width="8.88671875" style="1"/>
  </cols>
  <sheetData>
    <row r="1" spans="2:17" ht="18.600000000000001" thickBot="1">
      <c r="B1" s="42" t="s">
        <v>55</v>
      </c>
      <c r="C1" s="42"/>
      <c r="D1" s="42"/>
      <c r="E1" s="42"/>
      <c r="F1" s="42"/>
      <c r="G1" s="42"/>
      <c r="I1" s="43" t="s">
        <v>56</v>
      </c>
      <c r="J1" s="43"/>
      <c r="K1" s="43"/>
      <c r="L1" s="43"/>
      <c r="M1" s="43"/>
      <c r="N1" s="43"/>
    </row>
    <row r="2" spans="2:17" ht="28.8" customHeight="1" thickBot="1">
      <c r="B2" s="44" t="s">
        <v>36</v>
      </c>
      <c r="C2" s="46" t="s">
        <v>37</v>
      </c>
      <c r="D2" s="47"/>
      <c r="E2" s="47"/>
      <c r="F2" s="48"/>
      <c r="G2" s="44" t="s">
        <v>38</v>
      </c>
      <c r="I2" s="44" t="s">
        <v>36</v>
      </c>
      <c r="J2" s="46" t="s">
        <v>37</v>
      </c>
      <c r="K2" s="47"/>
      <c r="L2" s="47"/>
      <c r="M2" s="48"/>
      <c r="N2" s="44" t="s">
        <v>38</v>
      </c>
      <c r="Q2" s="15" t="s">
        <v>57</v>
      </c>
    </row>
    <row r="3" spans="2:17" ht="18.600000000000001" thickBot="1">
      <c r="B3" s="45"/>
      <c r="C3" s="19">
        <v>1</v>
      </c>
      <c r="D3" s="19">
        <v>2</v>
      </c>
      <c r="E3" s="19">
        <v>3</v>
      </c>
      <c r="F3" s="19">
        <v>4</v>
      </c>
      <c r="G3" s="45"/>
      <c r="I3" s="45"/>
      <c r="J3" s="19">
        <v>1</v>
      </c>
      <c r="K3" s="19">
        <v>2</v>
      </c>
      <c r="L3" s="19">
        <v>3</v>
      </c>
      <c r="M3" s="19">
        <v>4</v>
      </c>
      <c r="N3" s="45"/>
      <c r="Q3" s="31">
        <f>SUMPRODUCT(C4:F7,J4:M7)</f>
        <v>509.99999795761437</v>
      </c>
    </row>
    <row r="4" spans="2:17" ht="18.600000000000001" thickBot="1">
      <c r="B4" s="21" t="s">
        <v>39</v>
      </c>
      <c r="C4" s="24">
        <v>9</v>
      </c>
      <c r="D4" s="24">
        <v>2</v>
      </c>
      <c r="E4" s="24">
        <v>5</v>
      </c>
      <c r="F4" s="24">
        <v>2</v>
      </c>
      <c r="G4" s="23">
        <v>65</v>
      </c>
      <c r="I4" s="21" t="s">
        <v>39</v>
      </c>
      <c r="J4" s="29">
        <v>0</v>
      </c>
      <c r="K4" s="29">
        <v>0</v>
      </c>
      <c r="L4" s="30">
        <v>23.000000970197608</v>
      </c>
      <c r="M4" s="29">
        <v>41.999999000000003</v>
      </c>
      <c r="N4" s="33">
        <f>SUM(J4:M4)</f>
        <v>64.999999970197607</v>
      </c>
      <c r="O4" s="28" t="s">
        <v>47</v>
      </c>
      <c r="Q4" s="28" t="s">
        <v>46</v>
      </c>
    </row>
    <row r="5" spans="2:17" ht="18.600000000000001" customHeight="1" thickBot="1">
      <c r="B5" s="21" t="s">
        <v>40</v>
      </c>
      <c r="C5" s="24">
        <v>2</v>
      </c>
      <c r="D5" s="24">
        <v>4</v>
      </c>
      <c r="E5" s="24">
        <v>6</v>
      </c>
      <c r="F5" s="24">
        <v>1</v>
      </c>
      <c r="G5" s="23">
        <v>20</v>
      </c>
      <c r="I5" s="21" t="s">
        <v>40</v>
      </c>
      <c r="J5" s="29">
        <v>0</v>
      </c>
      <c r="K5" s="29">
        <v>0</v>
      </c>
      <c r="L5" s="30">
        <v>0</v>
      </c>
      <c r="M5" s="29">
        <v>20.000000000000004</v>
      </c>
      <c r="N5" s="33">
        <f>SUM(J5:M5)</f>
        <v>20.000000000000004</v>
      </c>
      <c r="O5" s="28" t="s">
        <v>48</v>
      </c>
    </row>
    <row r="6" spans="2:17" ht="18.600000000000001" thickBot="1">
      <c r="B6" s="21" t="s">
        <v>41</v>
      </c>
      <c r="C6" s="24">
        <v>3</v>
      </c>
      <c r="D6" s="24">
        <v>1</v>
      </c>
      <c r="E6" s="24">
        <v>5</v>
      </c>
      <c r="F6" s="24">
        <v>2</v>
      </c>
      <c r="G6" s="23">
        <v>60</v>
      </c>
      <c r="I6" s="34" t="s">
        <v>41</v>
      </c>
      <c r="J6" s="30">
        <v>0</v>
      </c>
      <c r="K6" s="30">
        <v>29.999999993377227</v>
      </c>
      <c r="L6" s="30">
        <v>11.999999017881457</v>
      </c>
      <c r="M6" s="30">
        <v>18</v>
      </c>
      <c r="N6" s="32">
        <f>SUM(J6:M6)</f>
        <v>59.99999901125868</v>
      </c>
      <c r="O6" s="28" t="s">
        <v>49</v>
      </c>
    </row>
    <row r="7" spans="2:17" ht="18.600000000000001" thickBot="1">
      <c r="B7" s="34" t="s">
        <v>42</v>
      </c>
      <c r="C7" s="24">
        <v>3</v>
      </c>
      <c r="D7" s="24">
        <v>7</v>
      </c>
      <c r="E7" s="24">
        <v>5</v>
      </c>
      <c r="F7" s="24">
        <v>9</v>
      </c>
      <c r="G7" s="22">
        <v>45</v>
      </c>
      <c r="I7" s="34" t="s">
        <v>42</v>
      </c>
      <c r="J7" s="30">
        <v>29.999999988079075</v>
      </c>
      <c r="K7" s="30">
        <v>0</v>
      </c>
      <c r="L7" s="30">
        <v>15.000000011920925</v>
      </c>
      <c r="M7" s="30">
        <v>0</v>
      </c>
      <c r="N7" s="32">
        <f>SUM(J7:M7)</f>
        <v>45</v>
      </c>
      <c r="O7" s="28" t="s">
        <v>50</v>
      </c>
    </row>
    <row r="8" spans="2:17" ht="19.2" thickBot="1">
      <c r="B8" s="21" t="s">
        <v>43</v>
      </c>
      <c r="C8" s="22">
        <v>30</v>
      </c>
      <c r="D8" s="22">
        <v>30</v>
      </c>
      <c r="E8" s="22">
        <v>50</v>
      </c>
      <c r="F8" s="22">
        <v>80</v>
      </c>
      <c r="G8" s="19"/>
      <c r="I8" s="21" t="s">
        <v>43</v>
      </c>
      <c r="J8" s="32">
        <f>SUM(J4:J7)</f>
        <v>29.999999988079075</v>
      </c>
      <c r="K8" s="32">
        <f>SUM(K4:K7)</f>
        <v>29.999999993377227</v>
      </c>
      <c r="L8" s="32">
        <f>SUM(L4:L7)</f>
        <v>49.999999999999993</v>
      </c>
      <c r="M8" s="32">
        <f>SUM(M4:M7)</f>
        <v>79.999999000000003</v>
      </c>
      <c r="N8" s="19"/>
    </row>
    <row r="9" spans="2:17" ht="133.80000000000001">
      <c r="J9" s="27" t="s">
        <v>54</v>
      </c>
      <c r="K9" s="27" t="s">
        <v>51</v>
      </c>
      <c r="L9" s="27" t="s">
        <v>52</v>
      </c>
      <c r="M9" s="27" t="s">
        <v>53</v>
      </c>
    </row>
    <row r="10" spans="2:17">
      <c r="B10" s="25"/>
      <c r="C10" s="1" t="s">
        <v>44</v>
      </c>
    </row>
    <row r="11" spans="2:17">
      <c r="B11" s="26"/>
      <c r="C11" s="1" t="s">
        <v>45</v>
      </c>
    </row>
  </sheetData>
  <mergeCells count="8">
    <mergeCell ref="B1:G1"/>
    <mergeCell ref="I1:N1"/>
    <mergeCell ref="B2:B3"/>
    <mergeCell ref="C2:F2"/>
    <mergeCell ref="G2:G3"/>
    <mergeCell ref="I2:I3"/>
    <mergeCell ref="J2:M2"/>
    <mergeCell ref="N2:N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B1:Q11"/>
  <sheetViews>
    <sheetView workbookViewId="0">
      <selection activeCell="G8" sqref="G8"/>
    </sheetView>
  </sheetViews>
  <sheetFormatPr defaultRowHeight="18"/>
  <cols>
    <col min="1" max="1" width="2.33203125" style="1" customWidth="1"/>
    <col min="2" max="2" width="13" style="1" customWidth="1"/>
    <col min="3" max="4" width="8.88671875" style="1"/>
    <col min="5" max="5" width="10.5546875" style="1" customWidth="1"/>
    <col min="6" max="6" width="8.88671875" style="1"/>
    <col min="7" max="7" width="8.21875" style="1" customWidth="1"/>
    <col min="8" max="8" width="2.77734375" style="1" customWidth="1"/>
    <col min="9" max="9" width="18.33203125" style="1" customWidth="1"/>
    <col min="10" max="10" width="10.77734375" style="1" customWidth="1"/>
    <col min="11" max="11" width="10.88671875" style="1" customWidth="1"/>
    <col min="12" max="12" width="10.6640625" style="1" bestFit="1" customWidth="1"/>
    <col min="13" max="13" width="10.88671875" style="1" customWidth="1"/>
    <col min="14" max="14" width="14" style="1" customWidth="1"/>
    <col min="15" max="15" width="23.21875" style="1" customWidth="1"/>
    <col min="16" max="16" width="2.21875" style="1" customWidth="1"/>
    <col min="17" max="17" width="41.6640625" style="1" customWidth="1"/>
    <col min="18" max="16384" width="8.88671875" style="1"/>
  </cols>
  <sheetData>
    <row r="1" spans="2:17" ht="18.600000000000001" thickBot="1">
      <c r="B1" s="42" t="s">
        <v>55</v>
      </c>
      <c r="C1" s="42"/>
      <c r="D1" s="42"/>
      <c r="E1" s="42"/>
      <c r="F1" s="42"/>
      <c r="G1" s="42"/>
      <c r="I1" s="43" t="s">
        <v>56</v>
      </c>
      <c r="J1" s="43"/>
      <c r="K1" s="43"/>
      <c r="L1" s="43"/>
      <c r="M1" s="43"/>
      <c r="N1" s="43"/>
    </row>
    <row r="2" spans="2:17" ht="28.8" customHeight="1" thickBot="1">
      <c r="B2" s="44" t="s">
        <v>36</v>
      </c>
      <c r="C2" s="46" t="s">
        <v>37</v>
      </c>
      <c r="D2" s="47"/>
      <c r="E2" s="47"/>
      <c r="F2" s="48"/>
      <c r="G2" s="44" t="s">
        <v>38</v>
      </c>
      <c r="I2" s="44" t="s">
        <v>36</v>
      </c>
      <c r="J2" s="46" t="s">
        <v>37</v>
      </c>
      <c r="K2" s="47"/>
      <c r="L2" s="47"/>
      <c r="M2" s="48"/>
      <c r="N2" s="44" t="s">
        <v>38</v>
      </c>
      <c r="Q2" s="15" t="s">
        <v>57</v>
      </c>
    </row>
    <row r="3" spans="2:17" ht="32.4" thickBot="1">
      <c r="B3" s="45"/>
      <c r="C3" s="19">
        <v>1</v>
      </c>
      <c r="D3" s="19">
        <v>2</v>
      </c>
      <c r="E3" s="55" t="s">
        <v>58</v>
      </c>
      <c r="F3" s="19">
        <v>4</v>
      </c>
      <c r="G3" s="45"/>
      <c r="I3" s="45"/>
      <c r="J3" s="19">
        <v>1</v>
      </c>
      <c r="K3" s="19">
        <v>2</v>
      </c>
      <c r="L3" s="55" t="s">
        <v>58</v>
      </c>
      <c r="M3" s="19">
        <v>4</v>
      </c>
      <c r="N3" s="45"/>
      <c r="Q3" s="31">
        <f>SUMPRODUCT(C4:F7,J4:M7)</f>
        <v>280.00000199999999</v>
      </c>
    </row>
    <row r="4" spans="2:17" ht="18.600000000000001" thickBot="1">
      <c r="B4" s="21" t="s">
        <v>39</v>
      </c>
      <c r="C4" s="24">
        <v>9</v>
      </c>
      <c r="D4" s="24">
        <v>2</v>
      </c>
      <c r="E4" s="56">
        <v>0</v>
      </c>
      <c r="F4" s="24">
        <v>2</v>
      </c>
      <c r="G4" s="23">
        <v>65</v>
      </c>
      <c r="I4" s="21" t="s">
        <v>39</v>
      </c>
      <c r="J4" s="29">
        <v>0</v>
      </c>
      <c r="K4" s="29">
        <v>0</v>
      </c>
      <c r="L4" s="58">
        <v>14.000000999999987</v>
      </c>
      <c r="M4" s="29">
        <v>51</v>
      </c>
      <c r="N4" s="33">
        <f>SUM(J4:M4)</f>
        <v>65.000000999999983</v>
      </c>
      <c r="O4" s="28" t="s">
        <v>47</v>
      </c>
      <c r="Q4" s="28" t="s">
        <v>46</v>
      </c>
    </row>
    <row r="5" spans="2:17" ht="18.600000000000001" customHeight="1" thickBot="1">
      <c r="B5" s="21" t="s">
        <v>40</v>
      </c>
      <c r="C5" s="24">
        <v>2</v>
      </c>
      <c r="D5" s="24">
        <v>4</v>
      </c>
      <c r="E5" s="56">
        <v>0</v>
      </c>
      <c r="F5" s="24">
        <v>1</v>
      </c>
      <c r="G5" s="23">
        <v>20</v>
      </c>
      <c r="I5" s="21" t="s">
        <v>40</v>
      </c>
      <c r="J5" s="29">
        <v>0.99999900000001407</v>
      </c>
      <c r="K5" s="29">
        <v>0</v>
      </c>
      <c r="L5" s="58">
        <v>0</v>
      </c>
      <c r="M5" s="29">
        <v>19.000000999999987</v>
      </c>
      <c r="N5" s="33">
        <f>SUM(J5:M5)</f>
        <v>20</v>
      </c>
      <c r="O5" s="28" t="s">
        <v>48</v>
      </c>
    </row>
    <row r="6" spans="2:17" ht="18.600000000000001" thickBot="1">
      <c r="B6" s="21" t="s">
        <v>41</v>
      </c>
      <c r="C6" s="24">
        <v>3</v>
      </c>
      <c r="D6" s="24">
        <v>1</v>
      </c>
      <c r="E6" s="56">
        <v>0</v>
      </c>
      <c r="F6" s="24">
        <v>2</v>
      </c>
      <c r="G6" s="23">
        <v>60</v>
      </c>
      <c r="I6" s="34" t="s">
        <v>41</v>
      </c>
      <c r="J6" s="30">
        <v>0</v>
      </c>
      <c r="K6" s="30">
        <v>49.999999999999986</v>
      </c>
      <c r="L6" s="58">
        <v>0</v>
      </c>
      <c r="M6" s="30">
        <v>10.000000000000011</v>
      </c>
      <c r="N6" s="32">
        <f>SUM(J6:M6)</f>
        <v>60</v>
      </c>
      <c r="O6" s="28" t="s">
        <v>49</v>
      </c>
    </row>
    <row r="7" spans="2:17" ht="18.600000000000001" thickBot="1">
      <c r="B7" s="34" t="s">
        <v>42</v>
      </c>
      <c r="C7" s="24">
        <v>3</v>
      </c>
      <c r="D7" s="24">
        <v>7</v>
      </c>
      <c r="E7" s="56">
        <v>0</v>
      </c>
      <c r="F7" s="24">
        <v>9</v>
      </c>
      <c r="G7" s="22">
        <v>45</v>
      </c>
      <c r="I7" s="34" t="s">
        <v>42</v>
      </c>
      <c r="J7" s="30">
        <v>29.000000999999983</v>
      </c>
      <c r="K7" s="30">
        <v>0</v>
      </c>
      <c r="L7" s="58">
        <v>15.999999000000017</v>
      </c>
      <c r="M7" s="30">
        <v>0</v>
      </c>
      <c r="N7" s="32">
        <f>SUM(J7:M7)</f>
        <v>45</v>
      </c>
      <c r="O7" s="28" t="s">
        <v>50</v>
      </c>
    </row>
    <row r="8" spans="2:17" ht="19.2" thickBot="1">
      <c r="B8" s="21" t="s">
        <v>43</v>
      </c>
      <c r="C8" s="22">
        <v>30</v>
      </c>
      <c r="D8" s="51">
        <v>50</v>
      </c>
      <c r="E8" s="55">
        <v>30</v>
      </c>
      <c r="F8" s="22">
        <v>80</v>
      </c>
      <c r="G8" s="19"/>
      <c r="I8" s="21" t="s">
        <v>43</v>
      </c>
      <c r="J8" s="32">
        <f>SUM(J4:J7)</f>
        <v>29.999999999999996</v>
      </c>
      <c r="K8" s="54">
        <f>SUM(K4:K7)</f>
        <v>49.999999999999986</v>
      </c>
      <c r="L8" s="57">
        <f>SUM(L4:L7)</f>
        <v>30.000000000000004</v>
      </c>
      <c r="M8" s="32">
        <f>SUM(M4:M7)</f>
        <v>80.000000999999997</v>
      </c>
      <c r="N8" s="19"/>
    </row>
    <row r="9" spans="2:17" ht="133.80000000000001">
      <c r="J9" s="27" t="s">
        <v>54</v>
      </c>
      <c r="K9" s="27" t="s">
        <v>51</v>
      </c>
      <c r="L9" s="27" t="s">
        <v>52</v>
      </c>
      <c r="M9" s="27" t="s">
        <v>53</v>
      </c>
    </row>
    <row r="10" spans="2:17">
      <c r="B10" s="25"/>
      <c r="C10" s="1" t="s">
        <v>44</v>
      </c>
    </row>
    <row r="11" spans="2:17">
      <c r="B11" s="26"/>
      <c r="C11" s="1" t="s">
        <v>45</v>
      </c>
    </row>
  </sheetData>
  <mergeCells count="8">
    <mergeCell ref="B1:G1"/>
    <mergeCell ref="I1:N1"/>
    <mergeCell ref="B2:B3"/>
    <mergeCell ref="C2:F2"/>
    <mergeCell ref="G2:G3"/>
    <mergeCell ref="I2:I3"/>
    <mergeCell ref="J2:M2"/>
    <mergeCell ref="N2:N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Задача 1</vt:lpstr>
      <vt:lpstr>Задача 2</vt:lpstr>
      <vt:lpstr>Задача 3</vt:lpstr>
      <vt:lpstr>Задача 4 Трансп</vt:lpstr>
      <vt:lpstr>Задача 5 Трансп</vt:lpstr>
      <vt:lpstr>Задача 6 Трансп</vt:lpstr>
    </vt:vector>
  </TitlesOfParts>
  <Company>Krokoz™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secretary</dc:creator>
  <cp:lastModifiedBy>Windows User</cp:lastModifiedBy>
  <dcterms:created xsi:type="dcterms:W3CDTF">2020-10-21T08:22:54Z</dcterms:created>
  <dcterms:modified xsi:type="dcterms:W3CDTF">2020-10-24T12:57:21Z</dcterms:modified>
</cp:coreProperties>
</file>