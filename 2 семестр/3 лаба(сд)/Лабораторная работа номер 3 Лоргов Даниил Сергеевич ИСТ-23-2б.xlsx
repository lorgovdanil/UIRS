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8" windowWidth="21072" windowHeight="8268" activeTab="2"/>
  </bookViews>
  <sheets>
    <sheet name="1" sheetId="1" r:id="rId1"/>
    <sheet name="2" sheetId="2" r:id="rId2"/>
    <sheet name="3" sheetId="3" r:id="rId3"/>
  </sheets>
  <calcPr calcId="125725"/>
</workbook>
</file>

<file path=xl/calcChain.xml><?xml version="1.0" encoding="utf-8"?>
<calcChain xmlns="http://schemas.openxmlformats.org/spreadsheetml/2006/main">
  <c r="E14" i="3"/>
  <c r="E12"/>
  <c r="B14"/>
  <c r="B12"/>
  <c r="G16"/>
  <c r="B10"/>
  <c r="C10"/>
  <c r="D10"/>
  <c r="E10"/>
  <c r="F10"/>
  <c r="G10"/>
  <c r="H10"/>
  <c r="I10"/>
  <c r="J10"/>
  <c r="K10"/>
  <c r="C8"/>
  <c r="D8"/>
  <c r="E8"/>
  <c r="F8"/>
  <c r="G8"/>
  <c r="H8"/>
  <c r="I8"/>
  <c r="J8"/>
  <c r="K8"/>
  <c r="B8"/>
  <c r="M17" i="2"/>
  <c r="AA3"/>
  <c r="AA4"/>
  <c r="AA2"/>
  <c r="D17"/>
  <c r="E17"/>
  <c r="F17"/>
  <c r="G17"/>
  <c r="H17"/>
  <c r="I17"/>
  <c r="J17"/>
  <c r="K17"/>
  <c r="L17"/>
  <c r="C17"/>
  <c r="M17" i="1"/>
  <c r="B11" i="2" a="1"/>
  <c r="E13" s="1"/>
  <c r="G9"/>
  <c r="G8"/>
  <c r="G7"/>
  <c r="G6"/>
  <c r="E9"/>
  <c r="D9"/>
  <c r="C9"/>
  <c r="B9"/>
  <c r="E8"/>
  <c r="D8"/>
  <c r="C8"/>
  <c r="B8"/>
  <c r="E7"/>
  <c r="D7"/>
  <c r="C7"/>
  <c r="B7"/>
  <c r="E6"/>
  <c r="D6"/>
  <c r="C6"/>
  <c r="Q3"/>
  <c r="R3"/>
  <c r="S3"/>
  <c r="T3"/>
  <c r="U3"/>
  <c r="O3" s="1"/>
  <c r="V3"/>
  <c r="W3"/>
  <c r="X3"/>
  <c r="Y3"/>
  <c r="Z3"/>
  <c r="Q4"/>
  <c r="O4" s="1"/>
  <c r="R4"/>
  <c r="S4"/>
  <c r="T4"/>
  <c r="U4"/>
  <c r="V4"/>
  <c r="W4"/>
  <c r="X4"/>
  <c r="Y4"/>
  <c r="Z4"/>
  <c r="Q5"/>
  <c r="O5" s="1"/>
  <c r="R5"/>
  <c r="S5"/>
  <c r="T5"/>
  <c r="U5"/>
  <c r="V5"/>
  <c r="W5"/>
  <c r="X5"/>
  <c r="Y5"/>
  <c r="Z5"/>
  <c r="Q6"/>
  <c r="R6"/>
  <c r="S6"/>
  <c r="T6"/>
  <c r="U6"/>
  <c r="V6"/>
  <c r="W6"/>
  <c r="O6" s="1"/>
  <c r="X6"/>
  <c r="Y6"/>
  <c r="Z6"/>
  <c r="Q7"/>
  <c r="R7"/>
  <c r="S7"/>
  <c r="T7"/>
  <c r="U7"/>
  <c r="O7" s="1"/>
  <c r="V7"/>
  <c r="W7"/>
  <c r="X7"/>
  <c r="Y7"/>
  <c r="Z7"/>
  <c r="R2"/>
  <c r="S2"/>
  <c r="T2"/>
  <c r="U2"/>
  <c r="V2"/>
  <c r="W2"/>
  <c r="X2"/>
  <c r="Y2"/>
  <c r="Z2"/>
  <c r="Q2"/>
  <c r="O8"/>
  <c r="O6" i="1"/>
  <c r="E8" s="1"/>
  <c r="O7"/>
  <c r="E9" s="1"/>
  <c r="O5"/>
  <c r="C9" s="1"/>
  <c r="O4"/>
  <c r="E6" s="1"/>
  <c r="O3"/>
  <c r="C7" s="1"/>
  <c r="O2"/>
  <c r="O9"/>
  <c r="G7"/>
  <c r="G8"/>
  <c r="G9"/>
  <c r="G6"/>
  <c r="D7"/>
  <c r="B7"/>
  <c r="C6"/>
  <c r="O10"/>
  <c r="O11"/>
  <c r="O8"/>
  <c r="Q3"/>
  <c r="R3"/>
  <c r="S3"/>
  <c r="T3"/>
  <c r="U3"/>
  <c r="V3"/>
  <c r="W3"/>
  <c r="X3"/>
  <c r="Y3"/>
  <c r="Z3"/>
  <c r="Q4"/>
  <c r="R4"/>
  <c r="S4"/>
  <c r="T4"/>
  <c r="U4"/>
  <c r="V4"/>
  <c r="W4"/>
  <c r="X4"/>
  <c r="Y4"/>
  <c r="Z4"/>
  <c r="Q5"/>
  <c r="R5"/>
  <c r="S5"/>
  <c r="T5"/>
  <c r="U5"/>
  <c r="V5"/>
  <c r="W5"/>
  <c r="X5"/>
  <c r="Y5"/>
  <c r="Z5"/>
  <c r="Q6"/>
  <c r="R6"/>
  <c r="S6"/>
  <c r="T6"/>
  <c r="U6"/>
  <c r="V6"/>
  <c r="W6"/>
  <c r="X6"/>
  <c r="Y6"/>
  <c r="Z6"/>
  <c r="Q7"/>
  <c r="R7"/>
  <c r="S7"/>
  <c r="T7"/>
  <c r="U7"/>
  <c r="V7"/>
  <c r="W7"/>
  <c r="X7"/>
  <c r="Y7"/>
  <c r="Z7"/>
  <c r="R2"/>
  <c r="S2"/>
  <c r="T2"/>
  <c r="U2"/>
  <c r="V2"/>
  <c r="W2"/>
  <c r="X2"/>
  <c r="Y2"/>
  <c r="Z2"/>
  <c r="Q2"/>
  <c r="D11" i="2" l="1"/>
  <c r="D13"/>
  <c r="C11"/>
  <c r="C13"/>
  <c r="B11"/>
  <c r="B13"/>
  <c r="E12"/>
  <c r="D12"/>
  <c r="C14"/>
  <c r="B12"/>
  <c r="B14"/>
  <c r="E14"/>
  <c r="D14"/>
  <c r="C12"/>
  <c r="E11"/>
  <c r="O2"/>
  <c r="O9"/>
  <c r="O11"/>
  <c r="O10"/>
  <c r="D9" i="1"/>
  <c r="D8"/>
  <c r="E7"/>
  <c r="B9"/>
  <c r="C8"/>
  <c r="B11" a="1"/>
  <c r="D11" s="1"/>
  <c r="B8"/>
  <c r="D6"/>
  <c r="G11" i="2" l="1" a="1"/>
  <c r="D13" i="1"/>
  <c r="B13"/>
  <c r="E14"/>
  <c r="C14"/>
  <c r="D12"/>
  <c r="E13"/>
  <c r="C13"/>
  <c r="B12"/>
  <c r="E11"/>
  <c r="C12"/>
  <c r="B11"/>
  <c r="D14"/>
  <c r="C11"/>
  <c r="E12"/>
  <c r="B14"/>
  <c r="G13" i="2" l="1"/>
  <c r="G14"/>
  <c r="G11"/>
  <c r="G12"/>
  <c r="G11" i="1" a="1"/>
  <c r="G11" s="1"/>
  <c r="G14" l="1"/>
  <c r="K17" s="1"/>
  <c r="G13"/>
  <c r="G12"/>
  <c r="E17" l="1"/>
  <c r="L17"/>
  <c r="F17"/>
  <c r="D17"/>
  <c r="G17"/>
  <c r="I17"/>
  <c r="C17"/>
  <c r="H17"/>
  <c r="J17"/>
</calcChain>
</file>

<file path=xl/sharedStrings.xml><?xml version="1.0" encoding="utf-8"?>
<sst xmlns="http://schemas.openxmlformats.org/spreadsheetml/2006/main" count="48" uniqueCount="33">
  <si>
    <t>x</t>
  </si>
  <si>
    <t>x2</t>
  </si>
  <si>
    <t>x3</t>
  </si>
  <si>
    <t>x4</t>
  </si>
  <si>
    <t>x5</t>
  </si>
  <si>
    <t>x6</t>
  </si>
  <si>
    <t>y</t>
  </si>
  <si>
    <t>yx</t>
  </si>
  <si>
    <t>Значение</t>
  </si>
  <si>
    <t>Номер</t>
  </si>
  <si>
    <t>Переменная</t>
  </si>
  <si>
    <t>yx2</t>
  </si>
  <si>
    <t>yx3</t>
  </si>
  <si>
    <t>a0</t>
  </si>
  <si>
    <t>a1</t>
  </si>
  <si>
    <t>a2</t>
  </si>
  <si>
    <t>a3</t>
  </si>
  <si>
    <t>Матрица</t>
  </si>
  <si>
    <t>Обратная матрица</t>
  </si>
  <si>
    <t>e^0,1pi*x</t>
  </si>
  <si>
    <t>e^0,2pi*x</t>
  </si>
  <si>
    <t>e^0,3pi*x</t>
  </si>
  <si>
    <t>e^0,4pi*x</t>
  </si>
  <si>
    <t>e^0,5pi*x</t>
  </si>
  <si>
    <t>e^0,6pi*x</t>
  </si>
  <si>
    <t>Дано</t>
  </si>
  <si>
    <t>Q1</t>
  </si>
  <si>
    <t>Q2</t>
  </si>
  <si>
    <t>maxQ1</t>
  </si>
  <si>
    <t>maxQ2</t>
  </si>
  <si>
    <t>Зависимость данного вида лучше описывает явление</t>
  </si>
  <si>
    <t>minQ1</t>
  </si>
  <si>
    <t>minQ2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</si>
</sst>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1" fillId="0" borderId="5" xfId="0" applyFont="1" applyBorder="1" applyAlignment="1">
      <alignment horizontal="right" vertical="center"/>
    </xf>
    <xf numFmtId="0" fontId="1" fillId="0" borderId="5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3" fillId="3" borderId="5" xfId="0" applyFont="1" applyFill="1" applyBorder="1"/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style val="4"/>
  <c:chart>
    <c:plotArea>
      <c:layout>
        <c:manualLayout>
          <c:layoutTarget val="inner"/>
          <c:xMode val="edge"/>
          <c:yMode val="edge"/>
          <c:x val="4.8750854370365117E-2"/>
          <c:y val="8.604826108592234E-2"/>
          <c:w val="0.79550451439139414"/>
          <c:h val="0.85327572281810815"/>
        </c:manualLayout>
      </c:layout>
      <c:scatterChart>
        <c:scatterStyle val="smoothMarker"/>
        <c:ser>
          <c:idx val="0"/>
          <c:order val="0"/>
          <c:tx>
            <c:v>y~</c:v>
          </c:tx>
          <c:marker>
            <c:symbol val="none"/>
          </c:marker>
          <c:xVal>
            <c:numRef>
              <c:f>'1'!$C$16:$L$16</c:f>
              <c:numCache>
                <c:formatCode>General</c:formatCode>
                <c:ptCount val="10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</c:numCache>
            </c:numRef>
          </c:xVal>
          <c:yVal>
            <c:numRef>
              <c:f>'1'!$C$17:$L$17</c:f>
              <c:numCache>
                <c:formatCode>General</c:formatCode>
                <c:ptCount val="10"/>
                <c:pt idx="0">
                  <c:v>35.089424493178171</c:v>
                </c:pt>
                <c:pt idx="1">
                  <c:v>44.643188511410699</c:v>
                </c:pt>
                <c:pt idx="2">
                  <c:v>53.097280835571496</c:v>
                </c:pt>
                <c:pt idx="3">
                  <c:v>60.446192970336597</c:v>
                </c:pt>
                <c:pt idx="4">
                  <c:v>71.806442690383847</c:v>
                </c:pt>
                <c:pt idx="5">
                  <c:v>78.679869708960723</c:v>
                </c:pt>
                <c:pt idx="6">
                  <c:v>81.022406063475501</c:v>
                </c:pt>
                <c:pt idx="7">
                  <c:v>80.480819003399688</c:v>
                </c:pt>
                <c:pt idx="8">
                  <c:v>78.789983791336454</c:v>
                </c:pt>
                <c:pt idx="9">
                  <c:v>75.944391931961832</c:v>
                </c:pt>
              </c:numCache>
            </c:numRef>
          </c:yVal>
          <c:smooth val="1"/>
        </c:ser>
        <c:axId val="118615040"/>
        <c:axId val="118107520"/>
      </c:scatterChart>
      <c:scatterChart>
        <c:scatterStyle val="lineMarker"/>
        <c:ser>
          <c:idx val="1"/>
          <c:order val="1"/>
          <c:tx>
            <c:v>yi</c:v>
          </c:tx>
          <c:spPr>
            <a:ln w="28575">
              <a:noFill/>
            </a:ln>
          </c:spPr>
          <c:marker>
            <c:symbol val="diamond"/>
            <c:size val="9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'1'!$C$2:$L$2</c:f>
              <c:numCache>
                <c:formatCode>General</c:formatCode>
                <c:ptCount val="10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</c:numCache>
            </c:numRef>
          </c:xVal>
          <c:yVal>
            <c:numRef>
              <c:f>'1'!$C$3:$L$3</c:f>
              <c:numCache>
                <c:formatCode>General</c:formatCode>
                <c:ptCount val="10"/>
                <c:pt idx="0">
                  <c:v>35</c:v>
                </c:pt>
                <c:pt idx="1">
                  <c:v>45</c:v>
                </c:pt>
                <c:pt idx="2">
                  <c:v>53</c:v>
                </c:pt>
                <c:pt idx="3">
                  <c:v>60</c:v>
                </c:pt>
                <c:pt idx="4">
                  <c:v>72</c:v>
                </c:pt>
                <c:pt idx="5">
                  <c:v>79</c:v>
                </c:pt>
                <c:pt idx="6">
                  <c:v>81</c:v>
                </c:pt>
                <c:pt idx="7">
                  <c:v>80</c:v>
                </c:pt>
                <c:pt idx="8">
                  <c:v>79</c:v>
                </c:pt>
                <c:pt idx="9">
                  <c:v>76</c:v>
                </c:pt>
              </c:numCache>
            </c:numRef>
          </c:yVal>
        </c:ser>
        <c:ser>
          <c:idx val="2"/>
          <c:order val="2"/>
          <c:tx>
            <c:v>Прогноз</c:v>
          </c:tx>
          <c:spPr>
            <a:ln w="28575">
              <a:noFill/>
            </a:ln>
          </c:spPr>
          <c:marker>
            <c:symbol val="square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5.3046235253788071E-2"/>
                  <c:y val="-4.1219210404881849E-2"/>
                </c:manualLayout>
              </c:layout>
              <c:tx>
                <c:rich>
                  <a:bodyPr/>
                  <a:lstStyle/>
                  <a:p>
                    <a:pPr>
                      <a:defRPr sz="1600" b="1"/>
                    </a:pPr>
                    <a:r>
                      <a:rPr lang="en-US" sz="1600">
                        <a:solidFill>
                          <a:srgbClr val="FF0000"/>
                        </a:solidFill>
                      </a:rPr>
                      <a:t>2</a:t>
                    </a:r>
                    <a:r>
                      <a:rPr lang="en-US">
                        <a:solidFill>
                          <a:srgbClr val="FF0000"/>
                        </a:solidFill>
                      </a:rPr>
                      <a:t>4,44</a:t>
                    </a:r>
                  </a:p>
                </c:rich>
              </c:tx>
              <c:spPr>
                <a:noFill/>
                <a:ln>
                  <a:noFill/>
                </a:ln>
              </c:spPr>
              <c:showVal val="1"/>
            </c:dLbl>
            <c:txPr>
              <a:bodyPr/>
              <a:lstStyle/>
              <a:p>
                <a:pPr>
                  <a:defRPr sz="1600" b="1"/>
                </a:pPr>
                <a:endParaRPr lang="ru-RU"/>
              </a:p>
            </c:txPr>
            <c:showVal val="1"/>
          </c:dLbls>
          <c:xVal>
            <c:numRef>
              <c:f>'1'!$M$16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'1'!$M$17</c:f>
              <c:numCache>
                <c:formatCode>General</c:formatCode>
                <c:ptCount val="1"/>
                <c:pt idx="0">
                  <c:v>24.441497276197879</c:v>
                </c:pt>
              </c:numCache>
            </c:numRef>
          </c:yVal>
        </c:ser>
        <c:axId val="118615040"/>
        <c:axId val="118107520"/>
      </c:scatterChart>
      <c:valAx>
        <c:axId val="118615040"/>
        <c:scaling>
          <c:orientation val="minMax"/>
        </c:scaling>
        <c:axPos val="b"/>
        <c:majorGridlines>
          <c:spPr>
            <a:ln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Xi</a:t>
                </a:r>
              </a:p>
            </c:rich>
          </c:tx>
          <c:layout>
            <c:manualLayout>
              <c:xMode val="edge"/>
              <c:yMode val="edge"/>
              <c:x val="0.8599514493009407"/>
              <c:y val="0.91417294267008264"/>
            </c:manualLayout>
          </c:layout>
        </c:title>
        <c:numFmt formatCode="General" sourceLinked="1"/>
        <c:tickLblPos val="nextTo"/>
        <c:spPr>
          <a:ln w="12700">
            <a:solidFill>
              <a:sysClr val="windowText" lastClr="000000"/>
            </a:solidFill>
          </a:ln>
        </c:spPr>
        <c:crossAx val="118107520"/>
        <c:crosses val="autoZero"/>
        <c:crossBetween val="midCat"/>
      </c:valAx>
      <c:valAx>
        <c:axId val="118107520"/>
        <c:scaling>
          <c:orientation val="minMax"/>
          <c:min val="20"/>
        </c:scaling>
        <c:axPos val="l"/>
        <c:majorGridlines>
          <c:spPr>
            <a:ln>
              <a:solidFill>
                <a:sysClr val="windowText" lastClr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 sz="1400"/>
                </a:pPr>
                <a:r>
                  <a:rPr lang="en-US" sz="1400"/>
                  <a:t>Yi</a:t>
                </a:r>
              </a:p>
            </c:rich>
          </c:tx>
          <c:layout>
            <c:manualLayout>
              <c:xMode val="edge"/>
              <c:yMode val="edge"/>
              <c:x val="2.0376532652190235E-2"/>
              <c:y val="3.1789069852140091E-2"/>
            </c:manualLayout>
          </c:layout>
        </c:title>
        <c:numFmt formatCode="General" sourceLinked="1"/>
        <c:tickLblPos val="nextTo"/>
        <c:spPr>
          <a:ln w="12700">
            <a:solidFill>
              <a:sysClr val="windowText" lastClr="000000"/>
            </a:solidFill>
          </a:ln>
        </c:spPr>
        <c:crossAx val="118615040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400" b="1"/>
          </a:pPr>
          <a:endParaRPr lang="ru-RU"/>
        </a:p>
      </c:txPr>
    </c:legend>
    <c:plotVisOnly val="1"/>
    <c:dispBlanksAs val="gap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style val="4"/>
  <c:chart>
    <c:plotArea>
      <c:layout>
        <c:manualLayout>
          <c:layoutTarget val="inner"/>
          <c:xMode val="edge"/>
          <c:yMode val="edge"/>
          <c:x val="4.8750854370365103E-2"/>
          <c:y val="8.604826108592234E-2"/>
          <c:w val="0.79550451439139414"/>
          <c:h val="0.85327572281810848"/>
        </c:manualLayout>
      </c:layout>
      <c:scatterChart>
        <c:scatterStyle val="smoothMarker"/>
        <c:ser>
          <c:idx val="0"/>
          <c:order val="0"/>
          <c:tx>
            <c:v>y~</c:v>
          </c:tx>
          <c:marker>
            <c:symbol val="none"/>
          </c:marker>
          <c:xVal>
            <c:numRef>
              <c:f>'2'!$C$16:$L$16</c:f>
              <c:numCache>
                <c:formatCode>General</c:formatCode>
                <c:ptCount val="10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</c:numCache>
            </c:numRef>
          </c:xVal>
          <c:yVal>
            <c:numRef>
              <c:f>'2'!$C$17:$L$17</c:f>
              <c:numCache>
                <c:formatCode>General</c:formatCode>
                <c:ptCount val="10"/>
                <c:pt idx="0">
                  <c:v>37.886196077794388</c:v>
                </c:pt>
                <c:pt idx="1">
                  <c:v>44.422575034498728</c:v>
                </c:pt>
                <c:pt idx="2">
                  <c:v>51.27160659954842</c:v>
                </c:pt>
                <c:pt idx="3">
                  <c:v>58.2504139387393</c:v>
                </c:pt>
                <c:pt idx="4">
                  <c:v>71.440157048586343</c:v>
                </c:pt>
                <c:pt idx="5">
                  <c:v>80.757262392779239</c:v>
                </c:pt>
                <c:pt idx="6">
                  <c:v>82.318163961481318</c:v>
                </c:pt>
                <c:pt idx="7">
                  <c:v>79.864610810215439</c:v>
                </c:pt>
                <c:pt idx="8">
                  <c:v>76.788344344924354</c:v>
                </c:pt>
                <c:pt idx="9">
                  <c:v>77.000669791479595</c:v>
                </c:pt>
              </c:numCache>
            </c:numRef>
          </c:yVal>
          <c:smooth val="1"/>
        </c:ser>
        <c:axId val="85767296"/>
        <c:axId val="85769216"/>
      </c:scatterChart>
      <c:scatterChart>
        <c:scatterStyle val="lineMarker"/>
        <c:ser>
          <c:idx val="1"/>
          <c:order val="1"/>
          <c:tx>
            <c:v>yi</c:v>
          </c:tx>
          <c:spPr>
            <a:ln w="28575">
              <a:noFill/>
            </a:ln>
          </c:spPr>
          <c:marker>
            <c:symbol val="diamond"/>
            <c:size val="9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'2'!$C$2:$L$2</c:f>
              <c:numCache>
                <c:formatCode>General</c:formatCode>
                <c:ptCount val="10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</c:numCache>
            </c:numRef>
          </c:xVal>
          <c:yVal>
            <c:numRef>
              <c:f>'2'!$C$3:$L$3</c:f>
              <c:numCache>
                <c:formatCode>General</c:formatCode>
                <c:ptCount val="10"/>
                <c:pt idx="0">
                  <c:v>35</c:v>
                </c:pt>
                <c:pt idx="1">
                  <c:v>45</c:v>
                </c:pt>
                <c:pt idx="2">
                  <c:v>53</c:v>
                </c:pt>
                <c:pt idx="3">
                  <c:v>60</c:v>
                </c:pt>
                <c:pt idx="4">
                  <c:v>72</c:v>
                </c:pt>
                <c:pt idx="5">
                  <c:v>79</c:v>
                </c:pt>
                <c:pt idx="6">
                  <c:v>81</c:v>
                </c:pt>
                <c:pt idx="7">
                  <c:v>80</c:v>
                </c:pt>
                <c:pt idx="8">
                  <c:v>79</c:v>
                </c:pt>
                <c:pt idx="9">
                  <c:v>76</c:v>
                </c:pt>
              </c:numCache>
            </c:numRef>
          </c:yVal>
        </c:ser>
        <c:ser>
          <c:idx val="2"/>
          <c:order val="2"/>
          <c:tx>
            <c:v>Прогноз</c:v>
          </c:tx>
          <c:spPr>
            <a:ln w="28575">
              <a:noFill/>
            </a:ln>
          </c:spPr>
          <c:marker>
            <c:symbol val="square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4.7426601442963685E-2"/>
                  <c:y val="-3.2118493827477917E-2"/>
                </c:manualLayout>
              </c:layout>
              <c:tx>
                <c:rich>
                  <a:bodyPr/>
                  <a:lstStyle/>
                  <a:p>
                    <a:pPr>
                      <a:defRPr sz="1600" b="1">
                        <a:solidFill>
                          <a:srgbClr val="FF0000"/>
                        </a:solidFill>
                      </a:defRPr>
                    </a:pPr>
                    <a:r>
                      <a:rPr lang="en-US" sz="1600" b="1">
                        <a:solidFill>
                          <a:srgbClr val="FF0000"/>
                        </a:solidFill>
                      </a:rPr>
                      <a:t>3</a:t>
                    </a:r>
                    <a:r>
                      <a:rPr lang="en-US" sz="1600">
                        <a:solidFill>
                          <a:srgbClr val="FF0000"/>
                        </a:solidFill>
                      </a:rPr>
                      <a:t>1,7</a:t>
                    </a:r>
                    <a:r>
                      <a:rPr lang="ru-RU" sz="1600">
                        <a:solidFill>
                          <a:srgbClr val="FF0000"/>
                        </a:solidFill>
                      </a:rPr>
                      <a:t>8</a:t>
                    </a:r>
                    <a:endParaRPr lang="en-US" sz="1600">
                      <a:solidFill>
                        <a:srgbClr val="FF0000"/>
                      </a:solidFill>
                    </a:endParaRPr>
                  </a:p>
                </c:rich>
              </c:tx>
              <c:spPr>
                <a:noFill/>
              </c:spPr>
              <c:showVal val="1"/>
            </c:dLbl>
            <c:txPr>
              <a:bodyPr/>
              <a:lstStyle/>
              <a:p>
                <a:pPr>
                  <a:defRPr b="1"/>
                </a:pPr>
                <a:endParaRPr lang="ru-RU"/>
              </a:p>
            </c:txPr>
            <c:showVal val="1"/>
          </c:dLbls>
          <c:xVal>
            <c:numRef>
              <c:f>'2'!$M$16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'2'!$M$17</c:f>
              <c:numCache>
                <c:formatCode>General</c:formatCode>
                <c:ptCount val="1"/>
                <c:pt idx="0">
                  <c:v>31.778190584507648</c:v>
                </c:pt>
              </c:numCache>
            </c:numRef>
          </c:yVal>
        </c:ser>
        <c:axId val="85767296"/>
        <c:axId val="85769216"/>
      </c:scatterChart>
      <c:valAx>
        <c:axId val="85767296"/>
        <c:scaling>
          <c:orientation val="minMax"/>
        </c:scaling>
        <c:axPos val="b"/>
        <c:majorGridlines>
          <c:spPr>
            <a:ln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Xi</a:t>
                </a:r>
              </a:p>
            </c:rich>
          </c:tx>
          <c:layout>
            <c:manualLayout>
              <c:xMode val="edge"/>
              <c:yMode val="edge"/>
              <c:x val="0.8599514493009407"/>
              <c:y val="0.91417294267008264"/>
            </c:manualLayout>
          </c:layout>
        </c:title>
        <c:numFmt formatCode="General" sourceLinked="1"/>
        <c:tickLblPos val="nextTo"/>
        <c:spPr>
          <a:ln w="12700">
            <a:solidFill>
              <a:sysClr val="windowText" lastClr="000000"/>
            </a:solidFill>
          </a:ln>
        </c:spPr>
        <c:crossAx val="85769216"/>
        <c:crosses val="autoZero"/>
        <c:crossBetween val="midCat"/>
      </c:valAx>
      <c:valAx>
        <c:axId val="85769216"/>
        <c:scaling>
          <c:orientation val="minMax"/>
          <c:min val="20"/>
        </c:scaling>
        <c:axPos val="l"/>
        <c:majorGridlines>
          <c:spPr>
            <a:ln>
              <a:solidFill>
                <a:sysClr val="windowText" lastClr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 sz="1400"/>
                </a:pPr>
                <a:r>
                  <a:rPr lang="en-US" sz="1400"/>
                  <a:t>Yi</a:t>
                </a:r>
              </a:p>
            </c:rich>
          </c:tx>
          <c:layout>
            <c:manualLayout>
              <c:xMode val="edge"/>
              <c:yMode val="edge"/>
              <c:x val="2.0376532652190235E-2"/>
              <c:y val="3.1789069852140091E-2"/>
            </c:manualLayout>
          </c:layout>
        </c:title>
        <c:numFmt formatCode="General" sourceLinked="1"/>
        <c:tickLblPos val="nextTo"/>
        <c:spPr>
          <a:ln w="12700">
            <a:solidFill>
              <a:sysClr val="windowText" lastClr="000000"/>
            </a:solidFill>
          </a:ln>
        </c:spPr>
        <c:crossAx val="85767296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400" b="1"/>
          </a:pPr>
          <a:endParaRPr lang="ru-RU"/>
        </a:p>
      </c:txPr>
    </c:legend>
    <c:plotVisOnly val="1"/>
    <c:dispBlanksAs val="gap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48032</xdr:colOff>
      <xdr:row>17</xdr:row>
      <xdr:rowOff>178130</xdr:rowOff>
    </xdr:from>
    <xdr:to>
      <xdr:col>13</xdr:col>
      <xdr:colOff>637062</xdr:colOff>
      <xdr:row>41</xdr:row>
      <xdr:rowOff>50559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346364</xdr:colOff>
      <xdr:row>18</xdr:row>
      <xdr:rowOff>152400</xdr:rowOff>
    </xdr:from>
    <xdr:to>
      <xdr:col>14</xdr:col>
      <xdr:colOff>187248</xdr:colOff>
      <xdr:row>49</xdr:row>
      <xdr:rowOff>94101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2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oleObject" Target="../embeddings/oleObject4.bin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Z32"/>
  <sheetViews>
    <sheetView zoomScale="55" zoomScaleNormal="55" workbookViewId="0">
      <selection activeCell="G11" sqref="G11"/>
    </sheetView>
  </sheetViews>
  <sheetFormatPr defaultRowHeight="18"/>
  <cols>
    <col min="1" max="1" width="7.44140625" customWidth="1"/>
    <col min="2" max="6" width="11.33203125" customWidth="1"/>
    <col min="7" max="7" width="17" bestFit="1" customWidth="1"/>
    <col min="8" max="13" width="7" customWidth="1"/>
    <col min="14" max="14" width="16.109375" bestFit="1" customWidth="1"/>
    <col min="15" max="15" width="15.6640625" bestFit="1" customWidth="1"/>
    <col min="17" max="26" width="8.88671875" style="10" customWidth="1"/>
  </cols>
  <sheetData>
    <row r="1" spans="2:26" ht="18.600000000000001" thickBot="1">
      <c r="N1" s="13" t="s">
        <v>10</v>
      </c>
      <c r="O1" s="12" t="s">
        <v>8</v>
      </c>
      <c r="P1" s="12" t="s">
        <v>9</v>
      </c>
    </row>
    <row r="2" spans="2:26" ht="18.600000000000001" thickBot="1">
      <c r="B2" s="4"/>
      <c r="C2" s="5">
        <v>1.5</v>
      </c>
      <c r="D2" s="5">
        <v>2</v>
      </c>
      <c r="E2" s="5">
        <v>2.5</v>
      </c>
      <c r="F2" s="5">
        <v>3</v>
      </c>
      <c r="G2" s="5">
        <v>4</v>
      </c>
      <c r="H2" s="5">
        <v>5</v>
      </c>
      <c r="I2" s="5">
        <v>6</v>
      </c>
      <c r="J2" s="5">
        <v>6.5</v>
      </c>
      <c r="K2" s="5">
        <v>7</v>
      </c>
      <c r="L2" s="5">
        <v>7.5</v>
      </c>
      <c r="M2" s="1"/>
      <c r="N2" s="12" t="s">
        <v>0</v>
      </c>
      <c r="O2" s="6">
        <f t="shared" ref="O2:O7" si="0">SUM(Q2:Z2)</f>
        <v>45</v>
      </c>
      <c r="P2" s="9">
        <v>1</v>
      </c>
      <c r="Q2" s="11">
        <f>C$2^$P2</f>
        <v>1.5</v>
      </c>
      <c r="R2" s="11">
        <f t="shared" ref="R2:Z2" si="1">D$2^$P2</f>
        <v>2</v>
      </c>
      <c r="S2" s="11">
        <f t="shared" si="1"/>
        <v>2.5</v>
      </c>
      <c r="T2" s="11">
        <f t="shared" si="1"/>
        <v>3</v>
      </c>
      <c r="U2" s="11">
        <f t="shared" si="1"/>
        <v>4</v>
      </c>
      <c r="V2" s="11">
        <f t="shared" si="1"/>
        <v>5</v>
      </c>
      <c r="W2" s="11">
        <f t="shared" si="1"/>
        <v>6</v>
      </c>
      <c r="X2" s="11">
        <f t="shared" si="1"/>
        <v>6.5</v>
      </c>
      <c r="Y2" s="11">
        <f t="shared" si="1"/>
        <v>7</v>
      </c>
      <c r="Z2" s="11">
        <f t="shared" si="1"/>
        <v>7.5</v>
      </c>
    </row>
    <row r="3" spans="2:26" ht="18.600000000000001" thickBot="1">
      <c r="B3" s="7"/>
      <c r="C3" s="8">
        <v>35</v>
      </c>
      <c r="D3" s="8">
        <v>45</v>
      </c>
      <c r="E3" s="8">
        <v>53</v>
      </c>
      <c r="F3" s="8">
        <v>60</v>
      </c>
      <c r="G3" s="8">
        <v>72</v>
      </c>
      <c r="H3" s="8">
        <v>79</v>
      </c>
      <c r="I3" s="8">
        <v>81</v>
      </c>
      <c r="J3" s="8">
        <v>80</v>
      </c>
      <c r="K3" s="8">
        <v>79</v>
      </c>
      <c r="L3" s="8">
        <v>76</v>
      </c>
      <c r="M3" s="1"/>
      <c r="N3" s="12" t="s">
        <v>1</v>
      </c>
      <c r="O3" s="6">
        <f t="shared" si="0"/>
        <v>246</v>
      </c>
      <c r="P3" s="9">
        <v>2</v>
      </c>
      <c r="Q3" s="11">
        <f t="shared" ref="Q3:Q7" si="2">C$2^$P3</f>
        <v>2.25</v>
      </c>
      <c r="R3" s="11">
        <f t="shared" ref="R3:R7" si="3">D$2^$P3</f>
        <v>4</v>
      </c>
      <c r="S3" s="11">
        <f t="shared" ref="S3:S7" si="4">E$2^$P3</f>
        <v>6.25</v>
      </c>
      <c r="T3" s="11">
        <f t="shared" ref="T3:T7" si="5">F$2^$P3</f>
        <v>9</v>
      </c>
      <c r="U3" s="11">
        <f t="shared" ref="U3:U7" si="6">G$2^$P3</f>
        <v>16</v>
      </c>
      <c r="V3" s="11">
        <f t="shared" ref="V3:V7" si="7">H$2^$P3</f>
        <v>25</v>
      </c>
      <c r="W3" s="11">
        <f t="shared" ref="W3:W7" si="8">I$2^$P3</f>
        <v>36</v>
      </c>
      <c r="X3" s="11">
        <f t="shared" ref="X3:X7" si="9">J$2^$P3</f>
        <v>42.25</v>
      </c>
      <c r="Y3" s="11">
        <f t="shared" ref="Y3:Y7" si="10">K$2^$P3</f>
        <v>49</v>
      </c>
      <c r="Z3" s="11">
        <f t="shared" ref="Z3:Z7" si="11">L$2^$P3</f>
        <v>56.25</v>
      </c>
    </row>
    <row r="4" spans="2:26" ht="18.600000000000001" thickBot="1">
      <c r="N4" s="12" t="s">
        <v>2</v>
      </c>
      <c r="O4" s="6">
        <f t="shared" si="0"/>
        <v>1498.5</v>
      </c>
      <c r="P4" s="9">
        <v>3</v>
      </c>
      <c r="Q4" s="11">
        <f t="shared" si="2"/>
        <v>3.375</v>
      </c>
      <c r="R4" s="11">
        <f t="shared" si="3"/>
        <v>8</v>
      </c>
      <c r="S4" s="11">
        <f t="shared" si="4"/>
        <v>15.625</v>
      </c>
      <c r="T4" s="11">
        <f t="shared" si="5"/>
        <v>27</v>
      </c>
      <c r="U4" s="11">
        <f t="shared" si="6"/>
        <v>64</v>
      </c>
      <c r="V4" s="11">
        <f t="shared" si="7"/>
        <v>125</v>
      </c>
      <c r="W4" s="11">
        <f t="shared" si="8"/>
        <v>216</v>
      </c>
      <c r="X4" s="11">
        <f t="shared" si="9"/>
        <v>274.625</v>
      </c>
      <c r="Y4" s="11">
        <f t="shared" si="10"/>
        <v>343</v>
      </c>
      <c r="Z4" s="11">
        <f t="shared" si="11"/>
        <v>421.875</v>
      </c>
    </row>
    <row r="5" spans="2:26" ht="18.600000000000001" thickBot="1">
      <c r="B5" s="20" t="s">
        <v>17</v>
      </c>
      <c r="C5" s="20"/>
      <c r="D5" s="20"/>
      <c r="E5" s="20"/>
      <c r="N5" s="12" t="s">
        <v>3</v>
      </c>
      <c r="O5" s="6">
        <f t="shared" si="0"/>
        <v>9668.25</v>
      </c>
      <c r="P5" s="9">
        <v>4</v>
      </c>
      <c r="Q5" s="11">
        <f t="shared" si="2"/>
        <v>5.0625</v>
      </c>
      <c r="R5" s="11">
        <f t="shared" si="3"/>
        <v>16</v>
      </c>
      <c r="S5" s="11">
        <f t="shared" si="4"/>
        <v>39.0625</v>
      </c>
      <c r="T5" s="11">
        <f t="shared" si="5"/>
        <v>81</v>
      </c>
      <c r="U5" s="11">
        <f t="shared" si="6"/>
        <v>256</v>
      </c>
      <c r="V5" s="11">
        <f t="shared" si="7"/>
        <v>625</v>
      </c>
      <c r="W5" s="11">
        <f t="shared" si="8"/>
        <v>1296</v>
      </c>
      <c r="X5" s="11">
        <f t="shared" si="9"/>
        <v>1785.0625</v>
      </c>
      <c r="Y5" s="11">
        <f t="shared" si="10"/>
        <v>2401</v>
      </c>
      <c r="Z5" s="11">
        <f t="shared" si="11"/>
        <v>3164.0625</v>
      </c>
    </row>
    <row r="6" spans="2:26" ht="18.600000000000001" thickBot="1">
      <c r="B6" s="21">
        <v>10</v>
      </c>
      <c r="C6" s="21">
        <f>O2</f>
        <v>45</v>
      </c>
      <c r="D6" s="21">
        <f>O3</f>
        <v>246</v>
      </c>
      <c r="E6" s="21">
        <f>O4</f>
        <v>1498.5</v>
      </c>
      <c r="F6" s="14"/>
      <c r="G6" s="14">
        <f>O8</f>
        <v>660</v>
      </c>
      <c r="N6" s="12" t="s">
        <v>4</v>
      </c>
      <c r="O6" s="6">
        <f t="shared" si="0"/>
        <v>64445.625</v>
      </c>
      <c r="P6" s="9">
        <v>5</v>
      </c>
      <c r="Q6" s="11">
        <f t="shared" si="2"/>
        <v>7.59375</v>
      </c>
      <c r="R6" s="11">
        <f t="shared" si="3"/>
        <v>32</v>
      </c>
      <c r="S6" s="11">
        <f t="shared" si="4"/>
        <v>97.65625</v>
      </c>
      <c r="T6" s="11">
        <f t="shared" si="5"/>
        <v>243</v>
      </c>
      <c r="U6" s="11">
        <f t="shared" si="6"/>
        <v>1024</v>
      </c>
      <c r="V6" s="11">
        <f t="shared" si="7"/>
        <v>3125</v>
      </c>
      <c r="W6" s="11">
        <f t="shared" si="8"/>
        <v>7776</v>
      </c>
      <c r="X6" s="11">
        <f t="shared" si="9"/>
        <v>11602.90625</v>
      </c>
      <c r="Y6" s="11">
        <f t="shared" si="10"/>
        <v>16807</v>
      </c>
      <c r="Z6" s="11">
        <f t="shared" si="11"/>
        <v>23730.46875</v>
      </c>
    </row>
    <row r="7" spans="2:26" ht="18.600000000000001" thickBot="1">
      <c r="B7" s="21">
        <f>O2</f>
        <v>45</v>
      </c>
      <c r="C7" s="21">
        <f t="shared" ref="C7:C9" si="12">O3</f>
        <v>246</v>
      </c>
      <c r="D7" s="21">
        <f t="shared" ref="D7:D9" si="13">O4</f>
        <v>1498.5</v>
      </c>
      <c r="E7" s="21">
        <f t="shared" ref="E7:E9" si="14">O5</f>
        <v>9668.25</v>
      </c>
      <c r="F7" s="14"/>
      <c r="G7" s="14">
        <f t="shared" ref="G7:G9" si="15">O9</f>
        <v>3267</v>
      </c>
      <c r="M7" s="1"/>
      <c r="N7" s="12" t="s">
        <v>5</v>
      </c>
      <c r="O7" s="6">
        <f t="shared" si="0"/>
        <v>438471.9375</v>
      </c>
      <c r="P7" s="9">
        <v>6</v>
      </c>
      <c r="Q7" s="11">
        <f t="shared" si="2"/>
        <v>11.390625</v>
      </c>
      <c r="R7" s="11">
        <f t="shared" si="3"/>
        <v>64</v>
      </c>
      <c r="S7" s="11">
        <f t="shared" si="4"/>
        <v>244.140625</v>
      </c>
      <c r="T7" s="11">
        <f t="shared" si="5"/>
        <v>729</v>
      </c>
      <c r="U7" s="11">
        <f t="shared" si="6"/>
        <v>4096</v>
      </c>
      <c r="V7" s="11">
        <f t="shared" si="7"/>
        <v>15625</v>
      </c>
      <c r="W7" s="11">
        <f t="shared" si="8"/>
        <v>46656</v>
      </c>
      <c r="X7" s="11">
        <f t="shared" si="9"/>
        <v>75418.890625</v>
      </c>
      <c r="Y7" s="11">
        <f t="shared" si="10"/>
        <v>117649</v>
      </c>
      <c r="Z7" s="11">
        <f t="shared" si="11"/>
        <v>177978.515625</v>
      </c>
    </row>
    <row r="8" spans="2:26" ht="18.600000000000001" thickBot="1">
      <c r="B8" s="21">
        <f t="shared" ref="B8:B9" si="16">O3</f>
        <v>246</v>
      </c>
      <c r="C8" s="21">
        <f t="shared" si="12"/>
        <v>1498.5</v>
      </c>
      <c r="D8" s="21">
        <f t="shared" si="13"/>
        <v>9668.25</v>
      </c>
      <c r="E8" s="21">
        <f t="shared" si="14"/>
        <v>64445.625</v>
      </c>
      <c r="F8" s="14"/>
      <c r="G8" s="14">
        <f t="shared" si="15"/>
        <v>18699</v>
      </c>
      <c r="M8" s="1"/>
      <c r="N8" s="12" t="s">
        <v>6</v>
      </c>
      <c r="O8" s="3">
        <f>SUM(C3:L3)</f>
        <v>660</v>
      </c>
    </row>
    <row r="9" spans="2:26" ht="18.600000000000001" thickBot="1">
      <c r="B9" s="21">
        <f t="shared" si="16"/>
        <v>1498.5</v>
      </c>
      <c r="C9" s="21">
        <f t="shared" si="12"/>
        <v>9668.25</v>
      </c>
      <c r="D9" s="21">
        <f t="shared" si="13"/>
        <v>64445.625</v>
      </c>
      <c r="E9" s="21">
        <f t="shared" si="14"/>
        <v>438471.9375</v>
      </c>
      <c r="F9" s="14"/>
      <c r="G9" s="14">
        <f t="shared" si="15"/>
        <v>116034.75</v>
      </c>
      <c r="L9" s="2"/>
      <c r="M9" s="1"/>
      <c r="N9" s="12" t="s">
        <v>7</v>
      </c>
      <c r="O9" s="6">
        <f>SUMPRODUCT($C$3:$L$3,Q2:Z2)</f>
        <v>3267</v>
      </c>
    </row>
    <row r="10" spans="2:26" ht="18.600000000000001" thickBot="1">
      <c r="B10" s="20" t="s">
        <v>18</v>
      </c>
      <c r="C10" s="20"/>
      <c r="D10" s="20"/>
      <c r="E10" s="20"/>
      <c r="M10" s="1"/>
      <c r="N10" s="12" t="s">
        <v>11</v>
      </c>
      <c r="O10" s="6">
        <f t="shared" ref="O10:O11" si="17">SUMPRODUCT($C$3:$L$3,Q3:Z3)</f>
        <v>18699</v>
      </c>
    </row>
    <row r="11" spans="2:26" ht="18.600000000000001" thickBot="1">
      <c r="B11" s="22">
        <f t="array" ref="B11:E14">MINVERSE(B6:E9)</f>
        <v>17.794693204901645</v>
      </c>
      <c r="C11" s="22">
        <v>-14.360155891306261</v>
      </c>
      <c r="D11" s="22">
        <v>3.3356535048621043</v>
      </c>
      <c r="E11" s="22">
        <v>-0.23444156098519398</v>
      </c>
      <c r="G11" s="16">
        <f t="array" ref="G11:G14">MMULT(B11:E14,G6:G9)</f>
        <v>-0.11481277271013823</v>
      </c>
      <c r="H11" s="15" t="s">
        <v>13</v>
      </c>
      <c r="N11" s="12" t="s">
        <v>12</v>
      </c>
      <c r="O11" s="6">
        <f t="shared" si="17"/>
        <v>116034.75</v>
      </c>
    </row>
    <row r="12" spans="2:26">
      <c r="B12" s="22">
        <v>-14.360155891306185</v>
      </c>
      <c r="C12" s="22">
        <v>12.04023880436158</v>
      </c>
      <c r="D12" s="22">
        <v>-2.8702559229781528</v>
      </c>
      <c r="E12" s="22">
        <v>0.20545463448075824</v>
      </c>
      <c r="G12" s="16">
        <v>26.718930134891707</v>
      </c>
      <c r="H12" s="15" t="s">
        <v>14</v>
      </c>
    </row>
    <row r="13" spans="2:26">
      <c r="B13" s="22">
        <v>3.3356535048620701</v>
      </c>
      <c r="C13" s="22">
        <v>-2.8702559229781368</v>
      </c>
      <c r="D13" s="22">
        <v>0.70083966723242908</v>
      </c>
      <c r="E13" s="22">
        <v>-5.111883660579384E-2</v>
      </c>
      <c r="G13" s="16">
        <v>-2.1552754255517357</v>
      </c>
      <c r="H13" s="15" t="s">
        <v>15</v>
      </c>
      <c r="N13" s="19"/>
    </row>
    <row r="14" spans="2:26">
      <c r="B14" s="22">
        <v>-0.2344415609851902</v>
      </c>
      <c r="C14" s="22">
        <v>0.20545463448075618</v>
      </c>
      <c r="D14" s="22">
        <v>-5.1118836605793617E-2</v>
      </c>
      <c r="E14" s="22">
        <v>3.786580489318053E-3</v>
      </c>
      <c r="G14" s="16">
        <v>-7.344660431954253E-3</v>
      </c>
      <c r="H14" s="15" t="s">
        <v>16</v>
      </c>
    </row>
    <row r="15" spans="2:26" ht="18.600000000000001" thickBot="1"/>
    <row r="16" spans="2:26" ht="18.600000000000001" thickBot="1">
      <c r="C16" s="4">
        <v>1.5</v>
      </c>
      <c r="D16" s="5">
        <v>2</v>
      </c>
      <c r="E16" s="5">
        <v>2.5</v>
      </c>
      <c r="F16" s="5">
        <v>3</v>
      </c>
      <c r="G16" s="5">
        <v>4</v>
      </c>
      <c r="H16" s="5">
        <v>5</v>
      </c>
      <c r="I16" s="5">
        <v>6</v>
      </c>
      <c r="J16" s="5">
        <v>6.5</v>
      </c>
      <c r="K16" s="5">
        <v>7</v>
      </c>
      <c r="L16" s="5">
        <v>7.5</v>
      </c>
      <c r="M16" s="17">
        <v>1</v>
      </c>
    </row>
    <row r="17" spans="3:17" ht="18.600000000000001" thickBot="1">
      <c r="C17" s="3">
        <f>$G$11+$G$12*C16+$G$13*C16^2+$G$14*C16^3</f>
        <v>35.089424493178171</v>
      </c>
      <c r="D17" s="3">
        <f t="shared" ref="D17:M17" si="18">$G$11+$G$12*D16+$G$13*D16^2+$G$14*D16^3</f>
        <v>44.643188511410699</v>
      </c>
      <c r="E17" s="3">
        <f t="shared" si="18"/>
        <v>53.097280835571496</v>
      </c>
      <c r="F17" s="3">
        <f t="shared" si="18"/>
        <v>60.446192970336597</v>
      </c>
      <c r="G17" s="3">
        <f t="shared" si="18"/>
        <v>71.806442690383847</v>
      </c>
      <c r="H17" s="3">
        <f t="shared" si="18"/>
        <v>78.679869708960723</v>
      </c>
      <c r="I17" s="3">
        <f t="shared" si="18"/>
        <v>81.022406063475501</v>
      </c>
      <c r="J17" s="3">
        <f t="shared" si="18"/>
        <v>80.480819003399688</v>
      </c>
      <c r="K17" s="3">
        <f t="shared" si="18"/>
        <v>78.789983791336454</v>
      </c>
      <c r="L17" s="3">
        <f t="shared" si="18"/>
        <v>75.944391931961832</v>
      </c>
      <c r="M17" s="18">
        <f>$G$11+$G$12*M16+$G$13*M16^2+$G$14*M16^3</f>
        <v>24.441497276197879</v>
      </c>
    </row>
    <row r="32" spans="3:17">
      <c r="Q32"/>
    </row>
  </sheetData>
  <mergeCells count="2">
    <mergeCell ref="B5:E5"/>
    <mergeCell ref="B10:E10"/>
  </mergeCells>
  <pageMargins left="0.7" right="0.7" top="0.75" bottom="0.75" header="0.3" footer="0.3"/>
  <pageSetup paperSize="9" orientation="portrait" r:id="rId1"/>
  <drawing r:id="rId2"/>
  <legacyDrawing r:id="rId3"/>
  <oleObjects>
    <oleObject progId="Equation.3" shapeId="1026" r:id="rId4"/>
    <oleObject progId="Equation.3" shapeId="1025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B1:AA17"/>
  <sheetViews>
    <sheetView zoomScale="55" zoomScaleNormal="55" workbookViewId="0">
      <selection activeCell="G11" sqref="G11"/>
    </sheetView>
  </sheetViews>
  <sheetFormatPr defaultRowHeight="14.4"/>
  <cols>
    <col min="2" max="5" width="9.6640625" customWidth="1"/>
    <col min="14" max="14" width="15.44140625" bestFit="1" customWidth="1"/>
    <col min="15" max="15" width="14.21875" bestFit="1" customWidth="1"/>
    <col min="17" max="17" width="12.21875" bestFit="1" customWidth="1"/>
    <col min="18" max="18" width="14.88671875" bestFit="1" customWidth="1"/>
    <col min="19" max="19" width="13.6640625" bestFit="1" customWidth="1"/>
    <col min="20" max="20" width="5" bestFit="1" customWidth="1"/>
    <col min="21" max="21" width="6.21875" bestFit="1" customWidth="1"/>
    <col min="22" max="23" width="7.33203125" bestFit="1" customWidth="1"/>
    <col min="24" max="24" width="14.88671875" bestFit="1" customWidth="1"/>
    <col min="25" max="25" width="8.5546875" bestFit="1" customWidth="1"/>
    <col min="26" max="26" width="14.88671875" customWidth="1"/>
  </cols>
  <sheetData>
    <row r="1" spans="2:27" ht="18.600000000000001" thickBot="1">
      <c r="N1" s="13" t="s">
        <v>10</v>
      </c>
      <c r="O1" s="12" t="s">
        <v>8</v>
      </c>
      <c r="P1" s="12" t="s">
        <v>9</v>
      </c>
      <c r="Q1" s="10"/>
      <c r="R1" s="10"/>
      <c r="S1" s="10"/>
      <c r="T1" s="10"/>
      <c r="U1" s="10"/>
      <c r="V1" s="10"/>
      <c r="W1" s="10"/>
      <c r="X1" s="10"/>
      <c r="Y1" s="10"/>
      <c r="Z1" s="10"/>
      <c r="AA1" s="24">
        <v>1</v>
      </c>
    </row>
    <row r="2" spans="2:27" ht="18.600000000000001" thickBot="1">
      <c r="B2" s="4"/>
      <c r="C2" s="5">
        <v>1.5</v>
      </c>
      <c r="D2" s="5">
        <v>2</v>
      </c>
      <c r="E2" s="5">
        <v>2.5</v>
      </c>
      <c r="F2" s="5">
        <v>3</v>
      </c>
      <c r="G2" s="5">
        <v>4</v>
      </c>
      <c r="H2" s="5">
        <v>5</v>
      </c>
      <c r="I2" s="5">
        <v>6</v>
      </c>
      <c r="J2" s="5">
        <v>6.5</v>
      </c>
      <c r="K2" s="5">
        <v>7</v>
      </c>
      <c r="L2" s="5">
        <v>7.5</v>
      </c>
      <c r="N2" s="12" t="s">
        <v>19</v>
      </c>
      <c r="O2" s="6">
        <f t="shared" ref="O2:O7" si="0">SUM(Q2:Z2)</f>
        <v>50.420201094205268</v>
      </c>
      <c r="P2" s="9">
        <v>1</v>
      </c>
      <c r="Q2" s="11">
        <f>EXP($P2/10*PI()*C$2)</f>
        <v>1.6019776512823565</v>
      </c>
      <c r="R2" s="11">
        <f t="shared" ref="R1:AA2" si="1">EXP($P2/10*PI()*D$2)</f>
        <v>1.8744560875853382</v>
      </c>
      <c r="S2" s="11">
        <f t="shared" si="1"/>
        <v>2.1932800507380152</v>
      </c>
      <c r="T2" s="11">
        <f t="shared" si="1"/>
        <v>2.5663323952081352</v>
      </c>
      <c r="U2" s="11">
        <f t="shared" si="1"/>
        <v>3.5135856242857333</v>
      </c>
      <c r="V2" s="11">
        <f t="shared" si="1"/>
        <v>4.8104773809653514</v>
      </c>
      <c r="W2" s="11">
        <f t="shared" si="1"/>
        <v>6.5860619626947248</v>
      </c>
      <c r="X2" s="11">
        <f t="shared" si="1"/>
        <v>7.7062772563057749</v>
      </c>
      <c r="Y2" s="11">
        <f t="shared" si="1"/>
        <v>9.0170286109420772</v>
      </c>
      <c r="Z2" s="11">
        <f t="shared" si="1"/>
        <v>10.550724074197761</v>
      </c>
      <c r="AA2" s="11">
        <f>EXP($P2/10*PI())</f>
        <v>1.3691077706248469</v>
      </c>
    </row>
    <row r="3" spans="2:27" ht="18.600000000000001" thickBot="1">
      <c r="B3" s="7"/>
      <c r="C3" s="8">
        <v>35</v>
      </c>
      <c r="D3" s="8">
        <v>45</v>
      </c>
      <c r="E3" s="8">
        <v>53</v>
      </c>
      <c r="F3" s="8">
        <v>60</v>
      </c>
      <c r="G3" s="8">
        <v>72</v>
      </c>
      <c r="H3" s="8">
        <v>79</v>
      </c>
      <c r="I3" s="8">
        <v>81</v>
      </c>
      <c r="J3" s="8">
        <v>80</v>
      </c>
      <c r="K3" s="8">
        <v>79</v>
      </c>
      <c r="L3" s="8">
        <v>76</v>
      </c>
      <c r="N3" s="12" t="s">
        <v>20</v>
      </c>
      <c r="O3" s="6">
        <f t="shared" si="0"/>
        <v>348.34993872303477</v>
      </c>
      <c r="P3" s="9">
        <v>2</v>
      </c>
      <c r="Q3" s="11">
        <f t="shared" ref="Q3:Q7" si="2">EXP($P3/10*PI()*C$2)</f>
        <v>2.5663323952081352</v>
      </c>
      <c r="R3" s="11">
        <f t="shared" ref="R3:R7" si="3">EXP($P3/10*PI()*D$2)</f>
        <v>3.5135856242857333</v>
      </c>
      <c r="S3" s="11">
        <f t="shared" ref="S3:S7" si="4">EXP($P3/10*PI()*E$2)</f>
        <v>4.8104773809653514</v>
      </c>
      <c r="T3" s="11">
        <f t="shared" ref="T3:T7" si="5">EXP($P3/10*PI()*F$2)</f>
        <v>6.5860619626947248</v>
      </c>
      <c r="U3" s="11">
        <f t="shared" ref="U3:U7" si="6">EXP($P3/10*PI()*G$2)</f>
        <v>12.345283939187368</v>
      </c>
      <c r="V3" s="11">
        <f t="shared" ref="V3:V7" si="7">EXP($P3/10*PI()*H$2)</f>
        <v>23.140692632779267</v>
      </c>
      <c r="W3" s="11">
        <f t="shared" ref="W3:W7" si="8">EXP($P3/10*PI()*I$2)</f>
        <v>43.376212176454288</v>
      </c>
      <c r="X3" s="11">
        <f t="shared" ref="X3:X7" si="9">EXP($P3/10*PI()*J$2)</f>
        <v>59.386709151055662</v>
      </c>
      <c r="Y3" s="11">
        <f t="shared" ref="Y3:Y7" si="10">EXP($P3/10*PI()*K$2)</f>
        <v>81.306804970548015</v>
      </c>
      <c r="Z3" s="11">
        <f t="shared" ref="Z2:AA7" si="11">EXP($P3/10*PI()*L$2)</f>
        <v>111.31777848985621</v>
      </c>
      <c r="AA3" s="11">
        <f t="shared" ref="AA3:AA4" si="12">EXP($P3/10*PI())</f>
        <v>1.8744560875853382</v>
      </c>
    </row>
    <row r="4" spans="2:27" ht="18.600000000000001" thickBot="1">
      <c r="N4" s="12" t="s">
        <v>21</v>
      </c>
      <c r="O4" s="6">
        <f t="shared" si="0"/>
        <v>2843.8018272594059</v>
      </c>
      <c r="P4" s="9">
        <v>3</v>
      </c>
      <c r="Q4" s="11">
        <f t="shared" si="2"/>
        <v>4.1112071428853527</v>
      </c>
      <c r="R4" s="11">
        <f t="shared" si="3"/>
        <v>6.5860619626947248</v>
      </c>
      <c r="S4" s="11">
        <f t="shared" si="4"/>
        <v>10.550724074197761</v>
      </c>
      <c r="T4" s="11">
        <f t="shared" si="5"/>
        <v>16.902024171711545</v>
      </c>
      <c r="U4" s="11">
        <f t="shared" si="6"/>
        <v>43.376212176454288</v>
      </c>
      <c r="V4" s="11">
        <f t="shared" si="7"/>
        <v>111.31777848985621</v>
      </c>
      <c r="W4" s="11">
        <f t="shared" si="8"/>
        <v>285.67842110112133</v>
      </c>
      <c r="X4" s="11">
        <f t="shared" si="9"/>
        <v>457.65044605762631</v>
      </c>
      <c r="Y4" s="11">
        <f t="shared" si="10"/>
        <v>733.14578668371894</v>
      </c>
      <c r="Z4" s="11">
        <f t="shared" si="11"/>
        <v>1174.4831653991396</v>
      </c>
      <c r="AA4" s="11">
        <f t="shared" si="12"/>
        <v>2.5663323952081352</v>
      </c>
    </row>
    <row r="5" spans="2:27" ht="18.600000000000001" thickBot="1">
      <c r="B5" s="20" t="s">
        <v>17</v>
      </c>
      <c r="C5" s="20"/>
      <c r="D5" s="20"/>
      <c r="E5" s="20"/>
      <c r="N5" s="12" t="s">
        <v>22</v>
      </c>
      <c r="O5" s="6">
        <f t="shared" si="0"/>
        <v>25184.06729077932</v>
      </c>
      <c r="P5" s="9">
        <v>4</v>
      </c>
      <c r="Q5" s="11">
        <f t="shared" si="2"/>
        <v>6.5860619626947248</v>
      </c>
      <c r="R5" s="11">
        <f t="shared" si="3"/>
        <v>12.345283939187368</v>
      </c>
      <c r="S5" s="11">
        <f t="shared" si="4"/>
        <v>23.140692632779267</v>
      </c>
      <c r="T5" s="11">
        <f t="shared" si="5"/>
        <v>43.376212176454288</v>
      </c>
      <c r="U5" s="11">
        <f t="shared" si="6"/>
        <v>152.40603553915756</v>
      </c>
      <c r="V5" s="11">
        <f t="shared" si="7"/>
        <v>535.49165552476461</v>
      </c>
      <c r="W5" s="11">
        <f t="shared" si="8"/>
        <v>1881.495782776781</v>
      </c>
      <c r="X5" s="11">
        <f t="shared" si="9"/>
        <v>3526.7812237920784</v>
      </c>
      <c r="Y5" s="11">
        <f t="shared" si="10"/>
        <v>6610.7965345187304</v>
      </c>
      <c r="Z5" s="11">
        <f t="shared" si="11"/>
        <v>12391.647807916694</v>
      </c>
      <c r="AA5" s="23"/>
    </row>
    <row r="6" spans="2:27" ht="18.600000000000001" thickBot="1">
      <c r="B6" s="21">
        <v>10</v>
      </c>
      <c r="C6" s="21">
        <f>O2</f>
        <v>50.420201094205268</v>
      </c>
      <c r="D6" s="21">
        <f>O3</f>
        <v>348.34993872303477</v>
      </c>
      <c r="E6" s="21">
        <f>O4</f>
        <v>2843.8018272594059</v>
      </c>
      <c r="G6" s="14">
        <f>O8</f>
        <v>660</v>
      </c>
      <c r="N6" s="12" t="s">
        <v>23</v>
      </c>
      <c r="O6" s="6">
        <f t="shared" si="0"/>
        <v>233227.82544646136</v>
      </c>
      <c r="P6" s="9">
        <v>5</v>
      </c>
      <c r="Q6" s="11">
        <f t="shared" si="2"/>
        <v>10.550724074197761</v>
      </c>
      <c r="R6" s="11">
        <f t="shared" si="3"/>
        <v>23.140692632779267</v>
      </c>
      <c r="S6" s="11">
        <f t="shared" si="4"/>
        <v>50.754019511734931</v>
      </c>
      <c r="T6" s="11">
        <f t="shared" si="5"/>
        <v>111.31777848985621</v>
      </c>
      <c r="U6" s="11">
        <f t="shared" si="6"/>
        <v>535.49165552476461</v>
      </c>
      <c r="V6" s="11">
        <f t="shared" si="7"/>
        <v>2575.9704965975698</v>
      </c>
      <c r="W6" s="11">
        <f t="shared" si="8"/>
        <v>12391.647807916694</v>
      </c>
      <c r="X6" s="11">
        <f t="shared" si="9"/>
        <v>27178.353932875165</v>
      </c>
      <c r="Y6" s="11">
        <f t="shared" si="10"/>
        <v>59609.741492872134</v>
      </c>
      <c r="Z6" s="11">
        <f t="shared" si="11"/>
        <v>130740.85684596645</v>
      </c>
      <c r="AA6" s="23"/>
    </row>
    <row r="7" spans="2:27" ht="18.600000000000001" thickBot="1">
      <c r="B7" s="21">
        <f>O2</f>
        <v>50.420201094205268</v>
      </c>
      <c r="C7" s="21">
        <f t="shared" ref="C7:C9" si="13">O3</f>
        <v>348.34993872303477</v>
      </c>
      <c r="D7" s="21">
        <f t="shared" ref="D7:D9" si="14">O4</f>
        <v>2843.8018272594059</v>
      </c>
      <c r="E7" s="21">
        <f t="shared" ref="E7:E9" si="15">O5</f>
        <v>25184.06729077932</v>
      </c>
      <c r="G7" s="14">
        <f t="shared" ref="G7:G9" si="16">O9</f>
        <v>3707.8228955688496</v>
      </c>
      <c r="N7" s="12" t="s">
        <v>24</v>
      </c>
      <c r="O7" s="6">
        <f t="shared" si="0"/>
        <v>2222699.9594242782</v>
      </c>
      <c r="P7" s="9">
        <v>6</v>
      </c>
      <c r="Q7" s="11">
        <f t="shared" si="2"/>
        <v>16.902024171711545</v>
      </c>
      <c r="R7" s="11">
        <f t="shared" si="3"/>
        <v>43.376212176454288</v>
      </c>
      <c r="S7" s="11">
        <f t="shared" si="4"/>
        <v>111.31777848985621</v>
      </c>
      <c r="T7" s="11">
        <f t="shared" si="5"/>
        <v>285.67842110112133</v>
      </c>
      <c r="U7" s="11">
        <f t="shared" si="6"/>
        <v>1881.495782776781</v>
      </c>
      <c r="V7" s="11">
        <f t="shared" si="7"/>
        <v>12391.647807916694</v>
      </c>
      <c r="W7" s="11">
        <f t="shared" si="8"/>
        <v>81612.160282829587</v>
      </c>
      <c r="X7" s="11">
        <f t="shared" si="9"/>
        <v>209443.93077674432</v>
      </c>
      <c r="Y7" s="11">
        <f t="shared" si="10"/>
        <v>537502.7445320891</v>
      </c>
      <c r="Z7" s="11">
        <f t="shared" si="11"/>
        <v>1379410.7058059827</v>
      </c>
    </row>
    <row r="8" spans="2:27" ht="18.600000000000001" thickBot="1">
      <c r="B8" s="21">
        <f t="shared" ref="B8:B9" si="17">O3</f>
        <v>348.34993872303477</v>
      </c>
      <c r="C8" s="21">
        <f t="shared" si="13"/>
        <v>2843.8018272594059</v>
      </c>
      <c r="D8" s="21">
        <f t="shared" si="14"/>
        <v>25184.06729077932</v>
      </c>
      <c r="E8" s="21">
        <f t="shared" si="15"/>
        <v>233227.82544646136</v>
      </c>
      <c r="G8" s="14">
        <f t="shared" si="16"/>
        <v>26762.825843768656</v>
      </c>
      <c r="N8" s="12" t="s">
        <v>6</v>
      </c>
      <c r="O8" s="3">
        <f>SUM(C3:L3)</f>
        <v>660</v>
      </c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2:27" ht="18.600000000000001" thickBot="1">
      <c r="B9" s="21">
        <f t="shared" si="17"/>
        <v>2843.8018272594059</v>
      </c>
      <c r="C9" s="21">
        <f t="shared" si="13"/>
        <v>25184.06729077932</v>
      </c>
      <c r="D9" s="21">
        <f t="shared" si="14"/>
        <v>233227.82544646136</v>
      </c>
      <c r="E9" s="21">
        <f t="shared" si="15"/>
        <v>2222699.9594242782</v>
      </c>
      <c r="G9" s="14">
        <f t="shared" si="16"/>
        <v>220861.99215411014</v>
      </c>
      <c r="N9" s="12" t="s">
        <v>7</v>
      </c>
      <c r="O9" s="6">
        <f>SUMPRODUCT($C$3:$L$3,Q2:Z2)</f>
        <v>3707.8228955688496</v>
      </c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2:27" ht="18.600000000000001" thickBot="1">
      <c r="B10" s="20" t="s">
        <v>18</v>
      </c>
      <c r="C10" s="20"/>
      <c r="D10" s="20"/>
      <c r="E10" s="20"/>
      <c r="N10" s="12" t="s">
        <v>11</v>
      </c>
      <c r="O10" s="6">
        <f t="shared" ref="O10:O11" si="18">SUMPRODUCT($C$3:$L$3,Q3:Z3)</f>
        <v>26762.825843768656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2:27" ht="18.600000000000001" thickBot="1">
      <c r="B11" s="22">
        <f t="array" ref="B11:E14">MINVERSE(B6:E9)</f>
        <v>7.5960643153717644</v>
      </c>
      <c r="C11" s="22">
        <v>-5.0814166317347427</v>
      </c>
      <c r="D11" s="22">
        <v>0.90396656867091896</v>
      </c>
      <c r="E11" s="22">
        <v>-4.6997400543623724E-2</v>
      </c>
      <c r="G11" s="16">
        <f t="array" ref="G11:G14">MMULT(B11:E14,G6:G9)</f>
        <v>-14.83014512551199</v>
      </c>
      <c r="H11" s="15" t="s">
        <v>13</v>
      </c>
      <c r="N11" s="12" t="s">
        <v>12</v>
      </c>
      <c r="O11" s="6">
        <f t="shared" si="18"/>
        <v>220861.99215411014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2:27" ht="18">
      <c r="B12" s="22">
        <v>-5.0814166317347471</v>
      </c>
      <c r="C12" s="22">
        <v>3.5635663146692287</v>
      </c>
      <c r="D12" s="22">
        <v>-0.6511926945697859</v>
      </c>
      <c r="E12" s="22">
        <v>3.4454359804630727E-2</v>
      </c>
      <c r="G12" s="16">
        <v>41.239663803165058</v>
      </c>
      <c r="H12" s="15" t="s">
        <v>14</v>
      </c>
    </row>
    <row r="13" spans="2:27" ht="18">
      <c r="B13" s="22">
        <v>0.90396656867091807</v>
      </c>
      <c r="C13" s="22">
        <v>-0.65119269456978501</v>
      </c>
      <c r="D13" s="22">
        <v>0.1221285463046789</v>
      </c>
      <c r="E13" s="22">
        <v>-6.5932409625957819E-3</v>
      </c>
      <c r="G13" s="16">
        <v>-5.5805654764455994</v>
      </c>
      <c r="H13" s="15" t="s">
        <v>15</v>
      </c>
    </row>
    <row r="14" spans="2:27" ht="18">
      <c r="B14" s="22">
        <v>-4.6997400543623551E-2</v>
      </c>
      <c r="C14" s="22">
        <v>3.4454359804630595E-2</v>
      </c>
      <c r="D14" s="22">
        <v>-6.5932409625957689E-3</v>
      </c>
      <c r="E14" s="22">
        <v>3.620271043335204E-4</v>
      </c>
      <c r="G14" s="16">
        <v>0.23664762591788246</v>
      </c>
      <c r="H14" s="15" t="s">
        <v>16</v>
      </c>
    </row>
    <row r="15" spans="2:27" ht="15" thickBot="1"/>
    <row r="16" spans="2:27" ht="18.600000000000001" thickBot="1">
      <c r="B16" t="s">
        <v>0</v>
      </c>
      <c r="C16" s="4">
        <v>1.5</v>
      </c>
      <c r="D16" s="5">
        <v>2</v>
      </c>
      <c r="E16" s="5">
        <v>2.5</v>
      </c>
      <c r="F16" s="5">
        <v>3</v>
      </c>
      <c r="G16" s="5">
        <v>4</v>
      </c>
      <c r="H16" s="5">
        <v>5</v>
      </c>
      <c r="I16" s="5">
        <v>6</v>
      </c>
      <c r="J16" s="5">
        <v>6.5</v>
      </c>
      <c r="K16" s="5">
        <v>7</v>
      </c>
      <c r="L16" s="5">
        <v>7.5</v>
      </c>
      <c r="M16" s="17">
        <v>1</v>
      </c>
    </row>
    <row r="17" spans="2:13" ht="18.600000000000001" thickBot="1">
      <c r="B17" t="s">
        <v>6</v>
      </c>
      <c r="C17" s="3">
        <f>$G$11+$G$12*Q2+$G$13*Q3+$G$14*Q4</f>
        <v>37.886196077794388</v>
      </c>
      <c r="D17" s="3">
        <f t="shared" ref="D17:M17" si="19">$G$11+$G$12*R2+$G$13*R3+$G$14*R4</f>
        <v>44.422575034498728</v>
      </c>
      <c r="E17" s="3">
        <f t="shared" si="19"/>
        <v>51.27160659954842</v>
      </c>
      <c r="F17" s="3">
        <f t="shared" si="19"/>
        <v>58.2504139387393</v>
      </c>
      <c r="G17" s="3">
        <f t="shared" si="19"/>
        <v>71.440157048586343</v>
      </c>
      <c r="H17" s="3">
        <f t="shared" si="19"/>
        <v>80.757262392779239</v>
      </c>
      <c r="I17" s="3">
        <f t="shared" si="19"/>
        <v>82.318163961481318</v>
      </c>
      <c r="J17" s="3">
        <f t="shared" si="19"/>
        <v>79.864610810215439</v>
      </c>
      <c r="K17" s="3">
        <f t="shared" si="19"/>
        <v>76.788344344924354</v>
      </c>
      <c r="L17" s="3">
        <f t="shared" si="19"/>
        <v>77.000669791479595</v>
      </c>
      <c r="M17" s="18">
        <f t="shared" si="19"/>
        <v>31.778190584507648</v>
      </c>
    </row>
  </sheetData>
  <mergeCells count="2">
    <mergeCell ref="B5:E5"/>
    <mergeCell ref="B10:E10"/>
  </mergeCells>
  <pageMargins left="0.7" right="0.7" top="0.75" bottom="0.75" header="0.3" footer="0.3"/>
  <pageSetup paperSize="9" orientation="portrait" r:id="rId1"/>
  <drawing r:id="rId2"/>
  <legacyDrawing r:id="rId3"/>
  <oleObjects>
    <oleObject progId="Equation.3" shapeId="2049" r:id="rId4"/>
    <oleObject progId="Equation.3" shapeId="2050" r:id="rId5"/>
  </oleObjects>
</worksheet>
</file>

<file path=xl/worksheets/sheet3.xml><?xml version="1.0" encoding="utf-8"?>
<worksheet xmlns="http://schemas.openxmlformats.org/spreadsheetml/2006/main" xmlns:r="http://schemas.openxmlformats.org/officeDocument/2006/relationships">
  <dimension ref="A1:K16"/>
  <sheetViews>
    <sheetView tabSelected="1" zoomScale="70" zoomScaleNormal="70" workbookViewId="0">
      <selection activeCell="F19" sqref="F19"/>
    </sheetView>
  </sheetViews>
  <sheetFormatPr defaultRowHeight="14.4"/>
  <cols>
    <col min="2" max="2" width="15.6640625" bestFit="1" customWidth="1"/>
  </cols>
  <sheetData>
    <row r="1" spans="1:11" ht="15" thickBot="1"/>
    <row r="2" spans="1:11" ht="18.600000000000001" thickBot="1">
      <c r="A2" s="25" t="s">
        <v>25</v>
      </c>
      <c r="B2" s="4">
        <v>35</v>
      </c>
      <c r="C2" s="4">
        <v>45</v>
      </c>
      <c r="D2" s="4">
        <v>53</v>
      </c>
      <c r="E2" s="4">
        <v>60</v>
      </c>
      <c r="F2" s="4">
        <v>72</v>
      </c>
      <c r="G2" s="4">
        <v>79</v>
      </c>
      <c r="H2" s="4">
        <v>81</v>
      </c>
      <c r="I2" s="4">
        <v>80</v>
      </c>
      <c r="J2" s="4">
        <v>79</v>
      </c>
      <c r="K2" s="4">
        <v>76</v>
      </c>
    </row>
    <row r="3" spans="1:11" ht="18" thickBot="1">
      <c r="A3" s="25"/>
    </row>
    <row r="4" spans="1:11" ht="18.600000000000001" thickBot="1">
      <c r="A4" s="25">
        <v>1</v>
      </c>
      <c r="B4" s="3">
        <v>35.089424493178171</v>
      </c>
      <c r="C4" s="3">
        <v>44.643188511410699</v>
      </c>
      <c r="D4" s="3">
        <v>53.097280835571496</v>
      </c>
      <c r="E4" s="3">
        <v>60.446192970336597</v>
      </c>
      <c r="F4" s="3">
        <v>71.806442690383847</v>
      </c>
      <c r="G4" s="3">
        <v>78.679869708960723</v>
      </c>
      <c r="H4" s="3">
        <v>81.022406063475501</v>
      </c>
      <c r="I4" s="3">
        <v>80.480819003399688</v>
      </c>
      <c r="J4" s="3">
        <v>78.789983791336454</v>
      </c>
      <c r="K4" s="3">
        <v>75.944391931961832</v>
      </c>
    </row>
    <row r="5" spans="1:11" ht="18" thickBot="1">
      <c r="A5" s="25"/>
    </row>
    <row r="6" spans="1:11" ht="18.600000000000001" thickBot="1">
      <c r="A6" s="25">
        <v>2</v>
      </c>
      <c r="B6" s="3">
        <v>37.886196077794388</v>
      </c>
      <c r="C6" s="3">
        <v>44.422575034498728</v>
      </c>
      <c r="D6" s="3">
        <v>51.27160659954842</v>
      </c>
      <c r="E6" s="3">
        <v>58.2504139387393</v>
      </c>
      <c r="F6" s="3">
        <v>71.440157048586343</v>
      </c>
      <c r="G6" s="3">
        <v>80.757262392779239</v>
      </c>
      <c r="H6" s="3">
        <v>82.318163961481318</v>
      </c>
      <c r="I6" s="3">
        <v>79.864610810215439</v>
      </c>
      <c r="J6" s="3">
        <v>76.788344344924354</v>
      </c>
      <c r="K6" s="3">
        <v>77.000669791479595</v>
      </c>
    </row>
    <row r="7" spans="1:11" ht="15" thickBot="1"/>
    <row r="8" spans="1:11" ht="18.600000000000001" thickBot="1">
      <c r="A8" s="25" t="s">
        <v>26</v>
      </c>
      <c r="B8" s="3">
        <f>(B2-B4)^2</f>
        <v>7.9967399801728154E-3</v>
      </c>
      <c r="C8" s="3">
        <f t="shared" ref="C8:K8" si="0">(C2-C4)^2</f>
        <v>0.12731443838931289</v>
      </c>
      <c r="D8" s="3">
        <f t="shared" si="0"/>
        <v>9.4635609694884472E-3</v>
      </c>
      <c r="E8" s="3">
        <f t="shared" si="0"/>
        <v>0.19908816677779512</v>
      </c>
      <c r="F8" s="3">
        <f t="shared" si="0"/>
        <v>3.7464432105843458E-2</v>
      </c>
      <c r="G8" s="3">
        <f t="shared" si="0"/>
        <v>0.10248340324089215</v>
      </c>
      <c r="H8" s="3">
        <f t="shared" si="0"/>
        <v>5.0203168046816023E-4</v>
      </c>
      <c r="I8" s="3">
        <f t="shared" si="0"/>
        <v>0.23118691403026914</v>
      </c>
      <c r="J8" s="3">
        <f t="shared" si="0"/>
        <v>4.4106807901410271E-2</v>
      </c>
      <c r="K8" s="3">
        <f t="shared" si="0"/>
        <v>3.0922572309375561E-3</v>
      </c>
    </row>
    <row r="9" spans="1:11" ht="15" thickBot="1"/>
    <row r="10" spans="1:11" ht="18.600000000000001" thickBot="1">
      <c r="A10" s="25" t="s">
        <v>27</v>
      </c>
      <c r="B10" s="3">
        <f>(B2-B6)^2</f>
        <v>8.3301277994757079</v>
      </c>
      <c r="C10" s="3">
        <f t="shared" ref="C10:K10" si="1">(C2-C6)^2</f>
        <v>0.33341959078414563</v>
      </c>
      <c r="D10" s="3">
        <f t="shared" si="1"/>
        <v>2.9873437467245756</v>
      </c>
      <c r="E10" s="3">
        <f t="shared" si="1"/>
        <v>3.0610513857577311</v>
      </c>
      <c r="F10" s="3">
        <f t="shared" si="1"/>
        <v>0.31342413024755422</v>
      </c>
      <c r="G10" s="3">
        <f t="shared" si="1"/>
        <v>3.0879711170762172</v>
      </c>
      <c r="H10" s="3">
        <f t="shared" si="1"/>
        <v>1.7375562293481213</v>
      </c>
      <c r="I10" s="3">
        <f t="shared" si="1"/>
        <v>1.8330232710519982E-2</v>
      </c>
      <c r="J10" s="3">
        <f t="shared" si="1"/>
        <v>4.8914207366280831</v>
      </c>
      <c r="K10" s="3">
        <f t="shared" si="1"/>
        <v>1.0013400315798162</v>
      </c>
    </row>
    <row r="11" spans="1:11" ht="15" thickBot="1"/>
    <row r="12" spans="1:11" ht="18.600000000000001" thickBot="1">
      <c r="A12" s="25" t="s">
        <v>28</v>
      </c>
      <c r="B12" s="3">
        <f>MAX(B8:K8)</f>
        <v>0.23118691403026914</v>
      </c>
      <c r="D12" s="25" t="s">
        <v>31</v>
      </c>
      <c r="E12" s="3">
        <f>MIN(B8:K8)</f>
        <v>5.0203168046816023E-4</v>
      </c>
    </row>
    <row r="13" spans="1:11" ht="15" thickBot="1"/>
    <row r="14" spans="1:11" ht="18.600000000000001" thickBot="1">
      <c r="A14" s="25" t="s">
        <v>29</v>
      </c>
      <c r="B14" s="3">
        <f>MAX(B10:K10)</f>
        <v>8.3301277994757079</v>
      </c>
      <c r="D14" s="25" t="s">
        <v>32</v>
      </c>
      <c r="E14" s="3">
        <f>MIN(B10:K10)</f>
        <v>1.8330232710519982E-2</v>
      </c>
      <c r="J14" s="23"/>
    </row>
    <row r="16" spans="1:11" ht="18">
      <c r="A16" s="20" t="s">
        <v>30</v>
      </c>
      <c r="B16" s="20"/>
      <c r="C16" s="20"/>
      <c r="D16" s="20"/>
      <c r="E16" s="20"/>
      <c r="F16" s="20"/>
      <c r="G16" s="14" t="str">
        <f>IF(B14&gt;B12,"-1",IF(B14&lt;B12,"-2","-никакое"))</f>
        <v>-1</v>
      </c>
      <c r="J16" s="23"/>
    </row>
  </sheetData>
  <mergeCells count="1"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klass412</dc:creator>
  <cp:lastModifiedBy>Даниил Лоргов</cp:lastModifiedBy>
  <dcterms:created xsi:type="dcterms:W3CDTF">2024-02-27T05:08:42Z</dcterms:created>
  <dcterms:modified xsi:type="dcterms:W3CDTF">2024-03-19T15:55:04Z</dcterms:modified>
</cp:coreProperties>
</file>